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说明" sheetId="1" r:id="rId1"/>
    <sheet name="参数" sheetId="2" r:id="rId2"/>
    <sheet name="确定性测算" sheetId="3" r:id="rId3"/>
    <sheet name="结果" sheetId="4" r:id="rId4"/>
    <sheet name="敏感性" sheetId="5" r:id="rId5"/>
    <sheet name="数据与来源" sheetId="6" r:id="rId6"/>
  </sheets>
  <calcPr calcId="124519" fullCalcOnLoad="1"/>
</workbook>
</file>

<file path=xl/sharedStrings.xml><?xml version="1.0" encoding="utf-8"?>
<sst xmlns="http://schemas.openxmlformats.org/spreadsheetml/2006/main" count="357" uniqueCount="278">
  <si>
    <t>经济自由本金测算表</t>
  </si>
  <si>
    <t>2026-10 · 参数为今天购买力；确定性测算为名义金额 · 与 HTML 计算器同一套默认参数</t>
  </si>
  <si>
    <t>这不是“保证一辈子不破产”的承诺。它把支出、通胀、社保、医疗、护理、长寿、收益序列和黑天鹅放在一起；输出是概率意义上的“够”。</t>
  </si>
  <si>
    <t>三个概念</t>
  </si>
  <si>
    <t>成功</t>
  </si>
  <si>
    <t>死亡前可投资资产从未为负，且死亡时资产不低于遗产目标（按 CPI 指数化）。</t>
  </si>
  <si>
    <t>置信度</t>
  </si>
  <si>
    <t>例如 90%，表示 4,000 条模拟人生里约 90% 不破产；不是 100%。</t>
  </si>
  <si>
    <t>所需本金</t>
  </si>
  <si>
    <t>在给定置信度下，今天至少需要的可投资净资产（不含自住房）。</t>
  </si>
  <si>
    <t>怎么用</t>
  </si>
  <si>
    <t>1</t>
  </si>
  <si>
    <t>只改“参数”表黄色单元格；“确定性测算”会自动更新。</t>
  </si>
  <si>
    <t>2</t>
  </si>
  <si>
    <t>“结果”表的蒙特卡洛区间来自 HTML 模型；改参数后请在 HTML 里重算，Excel 不会自动重跑 4,000 条路径。</t>
  </si>
  <si>
    <t>3</t>
  </si>
  <si>
    <t>“确定性测算”是简化版：不含医疗大额冲击、长期护理、收益率波动；用来理解现金流，不替代蒙特卡洛。</t>
  </si>
  <si>
    <t>模型边界</t>
  </si>
  <si>
    <t>未单独建模：个人养老金账户税优、海外资产汇率、房产税全国推开、遗产税、离婚/丧偶状态机、子女啃老、诈骗/诉讼、保险拒赔、医保目录变化、地方养老金差异。它们会改变结果，方向不一定。</t>
  </si>
  <si>
    <t>所有“预期收益”都是假设，不是事实。请用区间思维，而不是单点数字。</t>
  </si>
  <si>
    <t>参数（只改黄色单元格）</t>
  </si>
  <si>
    <t>所有金额为今天（2026）购买力；百分比单元格已设为百分比格式。</t>
  </si>
  <si>
    <t>参数</t>
  </si>
  <si>
    <t>值</t>
  </si>
  <si>
    <t>单位</t>
  </si>
  <si>
    <t>说明 / 来源</t>
  </si>
  <si>
    <t>当前年龄</t>
  </si>
  <si>
    <t>周岁</t>
  </si>
  <si>
    <t>你自己</t>
  </si>
  <si>
    <t>配偶年龄</t>
  </si>
  <si>
    <t>1 人家庭忽略</t>
  </si>
  <si>
    <t>停止工作年龄</t>
  </si>
  <si>
    <t>现在不工作 = 当前年龄</t>
  </si>
  <si>
    <t>规划到年龄</t>
  </si>
  <si>
    <t>保守 100；压力测试 105</t>
  </si>
  <si>
    <t>当前可投资净资产</t>
  </si>
  <si>
    <t>元</t>
  </si>
  <si>
    <t>不含自住房</t>
  </si>
  <si>
    <t>核心生活（元/月）</t>
  </si>
  <si>
    <t>餐饮食品</t>
  </si>
  <si>
    <t>元/月</t>
  </si>
  <si>
    <t>不含医疗、保险、房贷</t>
  </si>
  <si>
    <t>居住/物业/水电</t>
  </si>
  <si>
    <t>交通通讯</t>
  </si>
  <si>
    <t>衣着日用</t>
  </si>
  <si>
    <t>娱乐旅游</t>
  </si>
  <si>
    <t>人情社交</t>
  </si>
  <si>
    <t>其他/不可预见</t>
  </si>
  <si>
    <t>核心月支出合计</t>
  </si>
  <si>
    <t>公式自动合计（7 项）</t>
  </si>
  <si>
    <t>日常医疗 / 体检</t>
  </si>
  <si>
    <t>随医疗通胀膨胀</t>
  </si>
  <si>
    <t>商业保险年保费</t>
  </si>
  <si>
    <t>元/年</t>
  </si>
  <si>
    <t>全家合计；随年龄上升</t>
  </si>
  <si>
    <t>退休后基础支出比例</t>
  </si>
  <si>
    <t>%</t>
  </si>
  <si>
    <t>相对当前核心生活</t>
  </si>
  <si>
    <t>房贷余额</t>
  </si>
  <si>
    <t>自住房不计入可投资资产</t>
  </si>
  <si>
    <t>房贷利率</t>
  </si>
  <si>
    <t>名义固定利率</t>
  </si>
  <si>
    <t>房贷剩余年限</t>
  </si>
  <si>
    <t>年</t>
  </si>
  <si>
    <t>等额本息</t>
  </si>
  <si>
    <t>房贷年供</t>
  </si>
  <si>
    <t>公式自动计算</t>
  </si>
  <si>
    <t>子女当前年龄</t>
  </si>
  <si>
    <t>0 个子女填 0 并把年成本设 0</t>
  </si>
  <si>
    <t>子女年成本</t>
  </si>
  <si>
    <t>增量成本；不含家庭共同住房</t>
  </si>
  <si>
    <t>子女支持到年龄</t>
  </si>
  <si>
    <t>默认本科毕业</t>
  </si>
  <si>
    <t>社保月养老金（合计）</t>
  </si>
  <si>
    <t>今天币值；可由 HTML 公式估算</t>
  </si>
  <si>
    <t>养老金开始年龄</t>
  </si>
  <si>
    <t>渐进式延迟退休后约为 63</t>
  </si>
  <si>
    <t>养老金调整率</t>
  </si>
  <si>
    <t>名义；本表简化未用</t>
  </si>
  <si>
    <t>CPI 中枢</t>
  </si>
  <si>
    <t>%/年</t>
  </si>
  <si>
    <t>长期假设；2024/2025 实际为 0.2%/0.0%</t>
  </si>
  <si>
    <t>医疗通胀</t>
  </si>
  <si>
    <t>CPI + 3% 的假设</t>
  </si>
  <si>
    <t>教育通胀</t>
  </si>
  <si>
    <t>组合费后几何收益</t>
  </si>
  <si>
    <t>HTML 默认组合：30/30/30/10，费后</t>
  </si>
  <si>
    <t>保费实际增长</t>
  </si>
  <si>
    <t>随年龄上升</t>
  </si>
  <si>
    <t>目标本金（测算用）</t>
  </si>
  <si>
    <t>来自蒙特卡洛 90% 目标；可改</t>
  </si>
  <si>
    <t>目标置信度</t>
  </si>
  <si>
    <t>90% 推荐；95/99 更稳</t>
  </si>
  <si>
    <t>遗产目标</t>
  </si>
  <si>
    <t>按 CPI 指数化</t>
  </si>
  <si>
    <t>自住房价值</t>
  </si>
  <si>
    <t>不计入可投资资产</t>
  </si>
  <si>
    <t>大件 / 一次性支出</t>
  </si>
  <si>
    <t>项目</t>
  </si>
  <si>
    <t>金额（元）</t>
  </si>
  <si>
    <t>开始年龄</t>
  </si>
  <si>
    <t>每隔（年）</t>
  </si>
  <si>
    <t>结束年龄</t>
  </si>
  <si>
    <t>换车</t>
  </si>
  <si>
    <t>房屋装修/维修</t>
  </si>
  <si>
    <t>长途旅行</t>
  </si>
  <si>
    <t>确定性测算（简化版）</t>
  </si>
  <si>
    <t>名义金额；假设双方都活到 100 岁，不建模死亡、卖房、遗产；不含收益波动、医疗大额冲击、长期护理。用于理解现金流，不替代蒙特卡洛。</t>
  </si>
  <si>
    <t>年序</t>
  </si>
  <si>
    <t>年龄</t>
  </si>
  <si>
    <t>CPI 指数</t>
  </si>
  <si>
    <t>核心支出</t>
  </si>
  <si>
    <t>医疗</t>
  </si>
  <si>
    <t>保险</t>
  </si>
  <si>
    <t>房贷</t>
  </si>
  <si>
    <t>子女</t>
  </si>
  <si>
    <t>大件</t>
  </si>
  <si>
    <t>总支出</t>
  </si>
  <si>
    <t>养老金</t>
  </si>
  <si>
    <t>净支出</t>
  </si>
  <si>
    <t>期初资产</t>
  </si>
  <si>
    <t>期末资产</t>
  </si>
  <si>
    <t>资产首次为负</t>
  </si>
  <si>
    <t>最低期末资产</t>
  </si>
  <si>
    <t>结果：概率意义上的“够”</t>
  </si>
  <si>
    <t>以下蒙特卡洛数值来自 4,000 条路径、90% 置信度；改参数后请在 HTML 计算器重算。</t>
  </si>
  <si>
    <t>目标本金（90%）</t>
  </si>
  <si>
    <t>今天币值</t>
  </si>
  <si>
    <t>当前资产</t>
  </si>
  <si>
    <t>覆盖率</t>
  </si>
  <si>
    <t>当前资产成功率（不再工作）</t>
  </si>
  <si>
    <t>活到 90 岁条件下成功率</t>
  </si>
  <si>
    <t>首年总支出</t>
  </si>
  <si>
    <t>首年总支出 / 目标本金</t>
  </si>
  <si>
    <t>当前资产可支撑核心生活费</t>
  </si>
  <si>
    <t>4% 法则本金</t>
  </si>
  <si>
    <t>4% 法则在本模型下的成功率</t>
  </si>
  <si>
    <t>置信度区间</t>
  </si>
  <si>
    <t>相当于首年支出</t>
  </si>
  <si>
    <t>说明</t>
  </si>
  <si>
    <t>80%</t>
  </si>
  <si>
    <t>52.9×</t>
  </si>
  <si>
    <t>进取</t>
  </si>
  <si>
    <t>90%</t>
  </si>
  <si>
    <t>66.5×</t>
  </si>
  <si>
    <t>推荐</t>
  </si>
  <si>
    <t>95%</t>
  </si>
  <si>
    <t>80.9×</t>
  </si>
  <si>
    <t>更稳</t>
  </si>
  <si>
    <t>99%</t>
  </si>
  <si>
    <t>121.8×</t>
  </si>
  <si>
    <t>首年现金流</t>
  </si>
  <si>
    <t>备注</t>
  </si>
  <si>
    <t>核心生活</t>
  </si>
  <si>
    <t>医疗（日常）</t>
  </si>
  <si>
    <t>商业保险</t>
  </si>
  <si>
    <t>房贷 / 居住</t>
  </si>
  <si>
    <t>父母赡养</t>
  </si>
  <si>
    <t>长期护理</t>
  </si>
  <si>
    <t>合计</t>
  </si>
  <si>
    <t>首年</t>
  </si>
  <si>
    <t>压力测试（目标本金下）</t>
  </si>
  <si>
    <t>情景</t>
  </si>
  <si>
    <t>成功率</t>
  </si>
  <si>
    <t>基准</t>
  </si>
  <si>
    <t>退休后前3年连续大跌</t>
  </si>
  <si>
    <t>滞胀10年（通胀5%）</t>
  </si>
  <si>
    <t>日本化20年（收益1%）</t>
  </si>
  <si>
    <t>养老金下调30%</t>
  </si>
  <si>
    <t>活到105岁</t>
  </si>
  <si>
    <t>结论</t>
  </si>
  <si>
    <t>按当前参数，90% 置信度目标约 1,862 万元；当前资产 300 万元，覆盖率 16%。4% 法则给出 700 万元，但在本模型下只有 16% 成功率。</t>
  </si>
  <si>
    <t>敏感性：参数变化时，90% 目标本金怎么变</t>
  </si>
  <si>
    <t>敏感性内部同一样本（800 路径）；与结果表主目标（4,000 路径）有抽样差异。low = 更乐观（本金更低），high = 更悲观。</t>
  </si>
  <si>
    <t>更乐观</t>
  </si>
  <si>
    <t>更悲观</t>
  </si>
  <si>
    <t>乐观标签</t>
  </si>
  <si>
    <t>悲观标签</t>
  </si>
  <si>
    <t>影响幅度</t>
  </si>
  <si>
    <t>日常支出</t>
  </si>
  <si>
    <t>-20%</t>
  </si>
  <si>
    <t>+20%</t>
  </si>
  <si>
    <t>投资净收益</t>
  </si>
  <si>
    <t>+1.5%</t>
  </si>
  <si>
    <t>-1.5%</t>
  </si>
  <si>
    <t>通胀中枢</t>
  </si>
  <si>
    <t>-1%</t>
  </si>
  <si>
    <t>+1%</t>
  </si>
  <si>
    <t>-2%</t>
  </si>
  <si>
    <t>+2%</t>
  </si>
  <si>
    <t>子女成本</t>
  </si>
  <si>
    <t>-30%</t>
  </si>
  <si>
    <t>+30%</t>
  </si>
  <si>
    <t>护理成本</t>
  </si>
  <si>
    <t>-50%</t>
  </si>
  <si>
    <t>+50%</t>
  </si>
  <si>
    <t>寿命</t>
  </si>
  <si>
    <t>-10%</t>
  </si>
  <si>
    <t>+10%</t>
  </si>
  <si>
    <t>关键数据与来源</t>
  </si>
  <si>
    <t>截至 2026-10-25；政策类尽量用政府原文，数值类标注年份与口径。</t>
  </si>
  <si>
    <t>数据</t>
  </si>
  <si>
    <t>数值</t>
  </si>
  <si>
    <t>年份/口径</t>
  </si>
  <si>
    <t>来源</t>
  </si>
  <si>
    <t>链接</t>
  </si>
  <si>
    <t>全国居民人均消费支出</t>
  </si>
  <si>
    <t>29,476 元/年</t>
  </si>
  <si>
    <t>2025</t>
  </si>
  <si>
    <t>国家统计局</t>
  </si>
  <si>
    <t>城镇居民人均消费支出</t>
  </si>
  <si>
    <t>35,869 元/年</t>
  </si>
  <si>
    <t>北京城镇居民人均消费</t>
  </si>
  <si>
    <t>54,122 元/年</t>
  </si>
  <si>
    <t>北京市统计局</t>
  </si>
  <si>
    <t>上海城镇居民人均消费</t>
  </si>
  <si>
    <t>57,076 元/年</t>
  </si>
  <si>
    <t>上海市统计局</t>
  </si>
  <si>
    <t>CPI</t>
  </si>
  <si>
    <t>2024 +0.2% / 2025 0.0% / 2026-09 +0.9%</t>
  </si>
  <si>
    <t>2024–2026</t>
  </si>
  <si>
    <t>人均预期寿命</t>
  </si>
  <si>
    <t>79.25 岁</t>
  </si>
  <si>
    <t>国家卫健委</t>
  </si>
  <si>
    <t>卫生总费用 / 人均</t>
  </si>
  <si>
    <t>93,367.2 亿元 / 6,637.9 元</t>
  </si>
  <si>
    <t>国家卫健委卫生发展研究中心</t>
  </si>
  <si>
    <t>个人卫生支出占比</t>
  </si>
  <si>
    <t>27.1%</t>
  </si>
  <si>
    <t>同上</t>
  </si>
  <si>
    <t>企业退休月人均养老金</t>
  </si>
  <si>
    <t>3,162 元</t>
  </si>
  <si>
    <t>2023</t>
  </si>
  <si>
    <t>全国人大常委会社保法执法检查报告</t>
  </si>
  <si>
    <t>2024 / 2025 养老金调整</t>
  </si>
  <si>
    <t>+3% / +2%</t>
  </si>
  <si>
    <t>2024 / 2025</t>
  </si>
  <si>
    <t>人社部、财政部</t>
  </si>
  <si>
    <t>城乡居民基础养老金最低标准</t>
  </si>
  <si>
    <t>163 元/月</t>
  </si>
  <si>
    <t>2026</t>
  </si>
  <si>
    <t>政府工作报告</t>
  </si>
  <si>
    <t>渐进式延迟退休</t>
  </si>
  <si>
    <t>男 63 / 女 58 或 55；最低缴费 20 年</t>
  </si>
  <si>
    <t>2025 起</t>
  </si>
  <si>
    <t>全国人大常委会决定</t>
  </si>
  <si>
    <t>个人养老金</t>
  </si>
  <si>
    <t>12,000 元/年限额；领取 3% 税</t>
  </si>
  <si>
    <t>2024 起全国</t>
  </si>
  <si>
    <t>财政部、税务总局公告 2024 年第 21 号</t>
  </si>
  <si>
    <t>中国 10 年期国债</t>
  </si>
  <si>
    <t>1.64%</t>
  </si>
  <si>
    <t>2026-10-23</t>
  </si>
  <si>
    <t>中债</t>
  </si>
  <si>
    <t>1 年期定存</t>
  </si>
  <si>
    <t>0.95%–0.98%</t>
  </si>
  <si>
    <t>2026-10</t>
  </si>
  <si>
    <t>国有大行挂牌</t>
  </si>
  <si>
    <t>生育成本（全国 0–17 岁）</t>
  </si>
  <si>
    <t>53.8 万元</t>
  </si>
  <si>
    <t>2022 年价格</t>
  </si>
  <si>
    <t>育娲人口《中国生育成本报告 2024 版》</t>
  </si>
  <si>
    <t>30 岁男 50 万重疾（保至 70）</t>
  </si>
  <si>
    <t>约 5,600 元/年</t>
  </si>
  <si>
    <t>2026 报价</t>
  </si>
  <si>
    <t>谱蓝保/慧择等公开报价</t>
  </si>
  <si>
    <t>30 岁男 100 万定寿（保至 60）</t>
  </si>
  <si>
    <t>约 1,100–1,250 元/年</t>
  </si>
  <si>
    <t>2025–2026 报价</t>
  </si>
  <si>
    <t>慧择公开报价</t>
  </si>
  <si>
    <t>芜湖全护理养老机构</t>
  </si>
  <si>
    <t>2,200–4,600 元/月</t>
  </si>
  <si>
    <t>2025-12 政府公示</t>
  </si>
  <si>
    <t>芜湖市镜湖区民政局</t>
  </si>
  <si>
    <t>4% 法则</t>
  </si>
  <si>
    <t>美国 1926–1992，30 年，50/50 股债</t>
  </si>
  <si>
    <t>1994</t>
  </si>
  <si>
    <t>Bengen, JFP 7(4)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</si>
</sst>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%"/>
    <numFmt numFmtId="166" formatCode="¥#,##0"/>
    <numFmt numFmtId="167" formatCode="0.0%"/>
  </numFmts>
  <fonts count="13">
    <font>
      <sz val="11"/>
      <color theme="1"/>
      <name val="Calibri"/>
      <family val="2"/>
      <scheme val="minor"/>
    </font>
    <font>
      <b/>
      <sz val="20"/>
      <color rgb="FF17211B"/>
      <name val="Microsoft YaHei"/>
      <family val="2"/>
    </font>
    <font>
      <sz val="10"/>
      <color rgb="FF65706A"/>
      <name val="Microsoft YaHei"/>
      <family val="2"/>
    </font>
    <font>
      <sz val="10"/>
      <color theme="1"/>
      <name val="Microsoft YaHei"/>
      <family val="2"/>
    </font>
    <font>
      <b/>
      <sz val="12"/>
      <color rgb="FF0D5744"/>
      <name val="Microsoft YaHei"/>
      <family val="2"/>
    </font>
    <font>
      <sz val="10"/>
      <color rgb="FF17211B"/>
      <name val="Microsoft YaHei"/>
      <family val="2"/>
    </font>
    <font>
      <sz val="9"/>
      <color rgb="FF65706A"/>
      <name val="Microsoft YaHei"/>
      <family val="2"/>
    </font>
    <font>
      <b/>
      <sz val="9"/>
      <color rgb="FFFFFFFF"/>
      <name val="Microsoft YaHei"/>
      <family val="2"/>
    </font>
    <font>
      <sz val="10"/>
      <color rgb="FF3A2A00"/>
      <name val="Microsoft YaHei"/>
      <family val="2"/>
    </font>
    <font>
      <b/>
      <sz val="10"/>
      <color rgb="FFA63D35"/>
      <name val="Microsoft YaHei"/>
      <family val="2"/>
    </font>
    <font>
      <b/>
      <sz val="10"/>
      <color rgb="FF0D5744"/>
      <name val="Microsoft YaHei"/>
      <family val="2"/>
    </font>
    <font>
      <b/>
      <sz val="10"/>
      <color rgb="FFA66A1F"/>
      <name val="Microsoft YaHei"/>
      <family val="2"/>
    </font>
    <font>
      <u/>
      <sz val="9"/>
      <color rgb="FF0D5744"/>
      <name val="Microsoft YaHei"/>
      <family val="2"/>
    </font>
  </fonts>
  <fills count="5">
    <fill>
      <patternFill patternType="none"/>
    </fill>
    <fill>
      <patternFill patternType="gray125"/>
    </fill>
    <fill>
      <patternFill patternType="solid">
        <fgColor rgb="FFFBF5E8"/>
        <bgColor indexed="64"/>
      </patternFill>
    </fill>
    <fill>
      <patternFill patternType="solid">
        <fgColor rgb="FF0D5744"/>
        <bgColor indexed="64"/>
      </patternFill>
    </fill>
    <fill>
      <patternFill patternType="solid">
        <fgColor rgb="FFFFF3CF"/>
        <bgColor indexed="64"/>
      </patternFill>
    </fill>
  </fills>
  <borders count="7">
    <border>
      <left/>
      <right/>
      <top/>
      <bottom/>
      <diagonal/>
    </border>
    <border>
      <left style="thin">
        <color rgb="FFE7D3AD"/>
      </left>
      <right style="thin">
        <color rgb="FFE7D3AD"/>
      </right>
      <top style="thin">
        <color rgb="FFE7D3AD"/>
      </top>
      <bottom style="thin">
        <color rgb="FFE7D3AD"/>
      </bottom>
      <diagonal/>
    </border>
    <border>
      <left/>
      <right/>
      <top/>
      <bottom style="thin">
        <color rgb="FFDCD3C3"/>
      </bottom>
      <diagonal/>
    </border>
    <border>
      <left style="thin">
        <color rgb="FFDCD3C3"/>
      </left>
      <right style="thin">
        <color rgb="FFDCD3C3"/>
      </right>
      <top style="thin">
        <color rgb="FFDCD3C3"/>
      </top>
      <bottom style="thin">
        <color rgb="FFDCD3C3"/>
      </bottom>
      <diagonal/>
    </border>
    <border>
      <left style="thin">
        <color rgb="FF0D5744"/>
      </left>
      <right style="thin">
        <color rgb="FF0D5744"/>
      </right>
      <top style="thin">
        <color rgb="FF0D5744"/>
      </top>
      <bottom style="thin">
        <color rgb="FF0D5744"/>
      </bottom>
      <diagonal/>
    </border>
    <border>
      <left style="thin">
        <color rgb="FFE0C98E"/>
      </left>
      <right style="thin">
        <color rgb="FFE0C98E"/>
      </right>
      <top style="thin">
        <color rgb="FFE0C98E"/>
      </top>
      <bottom style="thin">
        <color rgb="FFE0C98E"/>
      </bottom>
      <diagonal/>
    </border>
    <border>
      <left style="thin">
        <color rgb="FFEEE7DA"/>
      </left>
      <right style="thin">
        <color rgb="FFEEE7DA"/>
      </right>
      <top style="thin">
        <color rgb="FFEEE7DA"/>
      </top>
      <bottom style="thin">
        <color rgb="FFEEE7D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2" xfId="0" applyFont="1" applyBorder="1"/>
    <xf numFmtId="0" fontId="5" fillId="0" borderId="3" xfId="0" applyFont="1" applyBorder="1" applyAlignment="1">
      <alignment vertical="center" wrapText="1"/>
    </xf>
    <xf numFmtId="0" fontId="6" fillId="0" borderId="0" xfId="0" applyFont="1" applyAlignment="1">
      <alignment vertical="top" wrapText="1"/>
    </xf>
    <xf numFmtId="0" fontId="7" fillId="3" borderId="4" xfId="0" applyFont="1" applyFill="1" applyBorder="1" applyAlignment="1">
      <alignment horizontal="center" vertical="center"/>
    </xf>
    <xf numFmtId="164" fontId="8" fillId="4" borderId="5" xfId="0" applyNumberFormat="1" applyFont="1" applyFill="1" applyBorder="1"/>
    <xf numFmtId="165" fontId="8" fillId="4" borderId="5" xfId="0" applyNumberFormat="1" applyFont="1" applyFill="1" applyBorder="1"/>
    <xf numFmtId="166" fontId="3" fillId="0" borderId="6" xfId="0" applyNumberFormat="1" applyFont="1" applyBorder="1"/>
    <xf numFmtId="164" fontId="3" fillId="0" borderId="6" xfId="0" applyNumberFormat="1" applyFont="1" applyBorder="1"/>
    <xf numFmtId="166" fontId="4" fillId="0" borderId="6" xfId="0" applyNumberFormat="1" applyFont="1" applyBorder="1"/>
    <xf numFmtId="167" fontId="3" fillId="0" borderId="6" xfId="0" applyNumberFormat="1" applyFont="1" applyBorder="1"/>
    <xf numFmtId="167" fontId="9" fillId="0" borderId="6" xfId="0" applyNumberFormat="1" applyFont="1" applyBorder="1"/>
    <xf numFmtId="167" fontId="10" fillId="0" borderId="6" xfId="0" applyNumberFormat="1" applyFont="1" applyBorder="1"/>
    <xf numFmtId="167" fontId="11" fillId="0" borderId="6" xfId="0" applyNumberFormat="1" applyFont="1" applyBorder="1"/>
    <xf numFmtId="0" fontId="12" fillId="0" borderId="0" xfId="0" applyFont="1"/>
  </cellXfs>
  <cellStyles count="1">
    <cellStyle name="Normal" xfId="0" builtinId="0"/>
  </cellStyles>
  <dxfs count="1">
    <dxf>
      <font>
        <color rgb="FFA63D35"/>
      </font>
      <numFmt numFmtId="166" formatCode="¥#,##0"/>
      <fill>
        <patternFill>
          <bgColor rgb="FFF3E0D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ats.gov.cn/xxgk/sjfb/zxfb2020/202601/t20260119_1962321.html" TargetMode="External"/><Relationship Id="rId2" Type="http://schemas.openxmlformats.org/officeDocument/2006/relationships/hyperlink" Target="https://www.stats.gov.cn/xxgk/sjfb/zxfb2020/202601/t20260119_1962321.html" TargetMode="External"/><Relationship Id="rId3" Type="http://schemas.openxmlformats.org/officeDocument/2006/relationships/hyperlink" Target="https://www.beijing.gov.cn/gongkai/shuju/sjjd/202601/t20260121_4452945.html" TargetMode="External"/><Relationship Id="rId4" Type="http://schemas.openxmlformats.org/officeDocument/2006/relationships/hyperlink" Target="https://www.shanghai.gov.cn/nw48810/20260203/2bed33e23b324e27ae846d3a88bade53.html" TargetMode="External"/><Relationship Id="rId5" Type="http://schemas.openxmlformats.org/officeDocument/2006/relationships/hyperlink" Target="https://www.stats.gov.cn/" TargetMode="External"/><Relationship Id="rId6" Type="http://schemas.openxmlformats.org/officeDocument/2006/relationships/hyperlink" Target="https://wsjkw.hebei.gov.cn/zwyw/417773.jhtml" TargetMode="External"/><Relationship Id="rId7" Type="http://schemas.openxmlformats.org/officeDocument/2006/relationships/hyperlink" Target="http://www.cn-he.cn/zgwsjj/article/abstract/1202604160" TargetMode="External"/><Relationship Id="rId8" Type="http://schemas.openxmlformats.org/officeDocument/2006/relationships/hyperlink" Target="http://www.cn-he.cn/zgwsjj/article/abstract/1202604160" TargetMode="External"/><Relationship Id="rId9" Type="http://schemas.openxmlformats.org/officeDocument/2006/relationships/hyperlink" Target="https://news.dayoo.com/gzrbrmt/202411/07/170628_54742831.htm" TargetMode="External"/><Relationship Id="rId10" Type="http://schemas.openxmlformats.org/officeDocument/2006/relationships/hyperlink" Target="https://www.gov.cn/zhengce/zhengceku/202507/content_7031449.htm" TargetMode="External"/><Relationship Id="rId11" Type="http://schemas.openxmlformats.org/officeDocument/2006/relationships/hyperlink" Target="http://www.yuping.gov.cn/xzjdbsc/yyx_5999721/gzdt/202603/t20260316_89875891.html" TargetMode="External"/><Relationship Id="rId12" Type="http://schemas.openxmlformats.org/officeDocument/2006/relationships/hyperlink" Target="https://www.gov.cn/zhengce/202409/content_6974294.htm" TargetMode="External"/><Relationship Id="rId13" Type="http://schemas.openxmlformats.org/officeDocument/2006/relationships/hyperlink" Target="https://zhejiang.chinatax.gov.cn/art/2026/3/9/art_24107_650245.html" TargetMode="External"/><Relationship Id="rId14" Type="http://schemas.openxmlformats.org/officeDocument/2006/relationships/hyperlink" Target="https://www.chinabond.com.cn/zzsj/zzsj_zzjgcp/zzjgcp_cpdt/cpdt_cpbg/cpbg_qxhzsrp/202610/t20261023_855472794.html" TargetMode="External"/><Relationship Id="rId15" Type="http://schemas.openxmlformats.org/officeDocument/2006/relationships/hyperlink" Target="https://bank.stockstar.com/IG2026032900008267.shtml" TargetMode="External"/><Relationship Id="rId16" Type="http://schemas.openxmlformats.org/officeDocument/2006/relationships/hyperlink" Target="https://news.cnr.cn/native/gd/20240221/t20240221_526602847.shtml" TargetMode="External"/><Relationship Id="rId17" Type="http://schemas.openxmlformats.org/officeDocument/2006/relationships/hyperlink" Target="https://www.pulanbx.com/bxzs/233812.html" TargetMode="External"/><Relationship Id="rId18" Type="http://schemas.openxmlformats.org/officeDocument/2006/relationships/hyperlink" Target="https://m.huize.com/study/detail-482956.html" TargetMode="External"/><Relationship Id="rId19" Type="http://schemas.openxmlformats.org/officeDocument/2006/relationships/hyperlink" Target="https://www.whjhq.gov.cn/openness/public/6605561/40821393.html" TargetMode="External"/><Relationship Id="rId20" Type="http://schemas.openxmlformats.org/officeDocument/2006/relationships/hyperlink" Target="https://www.nasdaq.com/articles/creator-4-rule-shares-his-new-strategy-retire-rich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20"/>
  <sheetViews>
    <sheetView showGridLines="0" tabSelected="1" workbookViewId="0"/>
  </sheetViews>
  <sheetFormatPr defaultRowHeight="15"/>
  <cols>
    <col min="1" max="1" width="3.7109375" customWidth="1"/>
    <col min="2" max="2" width="20.7109375" customWidth="1"/>
    <col min="3" max="3" width="86.7109375" customWidth="1"/>
  </cols>
  <sheetData>
    <row r="2" spans="2:3">
      <c r="B2" s="1" t="s">
        <v>0</v>
      </c>
    </row>
    <row r="3" spans="2:3">
      <c r="B3" s="2" t="s">
        <v>1</v>
      </c>
    </row>
    <row r="5" spans="2:3" ht="46" customHeight="1">
      <c r="B5" s="3" t="s">
        <v>2</v>
      </c>
      <c r="C5" s="3"/>
    </row>
    <row r="7" spans="2:3">
      <c r="B7" s="4" t="s">
        <v>3</v>
      </c>
    </row>
    <row r="8" spans="2:3">
      <c r="B8" s="5" t="s">
        <v>4</v>
      </c>
      <c r="C8" s="6" t="s">
        <v>5</v>
      </c>
    </row>
    <row r="9" spans="2:3">
      <c r="B9" s="5" t="s">
        <v>6</v>
      </c>
      <c r="C9" s="6" t="s">
        <v>7</v>
      </c>
    </row>
    <row r="10" spans="2:3">
      <c r="B10" s="5" t="s">
        <v>8</v>
      </c>
      <c r="C10" s="6" t="s">
        <v>9</v>
      </c>
    </row>
    <row r="12" spans="2:3">
      <c r="B12" s="4" t="s">
        <v>10</v>
      </c>
    </row>
    <row r="13" spans="2:3">
      <c r="B13" s="5" t="s">
        <v>11</v>
      </c>
      <c r="C13" s="6" t="s">
        <v>12</v>
      </c>
    </row>
    <row r="14" spans="2:3">
      <c r="B14" s="5" t="s">
        <v>13</v>
      </c>
      <c r="C14" s="6" t="s">
        <v>14</v>
      </c>
    </row>
    <row r="15" spans="2:3">
      <c r="B15" s="5" t="s">
        <v>15</v>
      </c>
      <c r="C15" s="6" t="s">
        <v>16</v>
      </c>
    </row>
    <row r="18" spans="2:3">
      <c r="B18" s="4" t="s">
        <v>17</v>
      </c>
    </row>
    <row r="19" spans="2:3" ht="44" customHeight="1">
      <c r="B19" s="6" t="s">
        <v>18</v>
      </c>
      <c r="C19" s="6"/>
    </row>
    <row r="20" spans="2:3">
      <c r="B20" s="6" t="s">
        <v>19</v>
      </c>
      <c r="C20" s="6"/>
    </row>
  </sheetData>
  <mergeCells count="3">
    <mergeCell ref="B5:C5"/>
    <mergeCell ref="B19:C19"/>
    <mergeCell ref="B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48"/>
  <sheetViews>
    <sheetView showGridLines="0" workbookViewId="0"/>
  </sheetViews>
  <sheetFormatPr defaultRowHeight="15"/>
  <cols>
    <col min="1" max="1" width="3.7109375" customWidth="1"/>
    <col min="2" max="2" width="32.7109375" customWidth="1"/>
    <col min="3" max="3" width="18.7109375" customWidth="1"/>
    <col min="4" max="4" width="14.7109375" customWidth="1"/>
    <col min="5" max="5" width="64.7109375" customWidth="1"/>
    <col min="6" max="6" width="10.7109375" customWidth="1"/>
  </cols>
  <sheetData>
    <row r="2" spans="2:6">
      <c r="B2" s="1" t="s">
        <v>20</v>
      </c>
    </row>
    <row r="3" spans="2:6">
      <c r="B3" s="2" t="s">
        <v>21</v>
      </c>
    </row>
    <row r="5" spans="2:6">
      <c r="B5" s="7" t="s">
        <v>22</v>
      </c>
      <c r="C5" s="7" t="s">
        <v>23</v>
      </c>
      <c r="D5" s="7" t="s">
        <v>24</v>
      </c>
      <c r="E5" s="7" t="s">
        <v>25</v>
      </c>
      <c r="F5" s="7"/>
    </row>
    <row r="6" spans="2:6">
      <c r="B6" s="5" t="s">
        <v>26</v>
      </c>
      <c r="C6" s="8">
        <v>40</v>
      </c>
      <c r="D6" s="5" t="s">
        <v>27</v>
      </c>
      <c r="E6" s="6" t="s">
        <v>28</v>
      </c>
    </row>
    <row r="7" spans="2:6">
      <c r="B7" s="5" t="s">
        <v>29</v>
      </c>
      <c r="C7" s="8">
        <v>38</v>
      </c>
      <c r="D7" s="5" t="s">
        <v>27</v>
      </c>
      <c r="E7" s="6" t="s">
        <v>30</v>
      </c>
    </row>
    <row r="8" spans="2:6">
      <c r="B8" s="5" t="s">
        <v>31</v>
      </c>
      <c r="C8" s="8">
        <v>40</v>
      </c>
      <c r="D8" s="5" t="s">
        <v>27</v>
      </c>
      <c r="E8" s="6" t="s">
        <v>32</v>
      </c>
    </row>
    <row r="9" spans="2:6">
      <c r="B9" s="5" t="s">
        <v>33</v>
      </c>
      <c r="C9" s="8">
        <v>100</v>
      </c>
      <c r="D9" s="5" t="s">
        <v>27</v>
      </c>
      <c r="E9" s="6" t="s">
        <v>34</v>
      </c>
    </row>
    <row r="10" spans="2:6">
      <c r="B10" s="5" t="s">
        <v>35</v>
      </c>
      <c r="C10" s="8">
        <v>3000000</v>
      </c>
      <c r="D10" s="5" t="s">
        <v>36</v>
      </c>
      <c r="E10" s="6" t="s">
        <v>37</v>
      </c>
    </row>
    <row r="12" spans="2:6">
      <c r="B12" s="4" t="s">
        <v>38</v>
      </c>
    </row>
    <row r="13" spans="2:6">
      <c r="B13" s="5" t="s">
        <v>39</v>
      </c>
      <c r="C13" s="8">
        <v>5000</v>
      </c>
      <c r="D13" s="5" t="s">
        <v>40</v>
      </c>
      <c r="E13" s="6" t="s">
        <v>41</v>
      </c>
    </row>
    <row r="14" spans="2:6">
      <c r="B14" s="5" t="s">
        <v>42</v>
      </c>
      <c r="C14" s="8">
        <v>3000</v>
      </c>
      <c r="D14" s="5" t="s">
        <v>40</v>
      </c>
      <c r="E14" s="6" t="s">
        <v>41</v>
      </c>
    </row>
    <row r="15" spans="2:6">
      <c r="B15" s="5" t="s">
        <v>43</v>
      </c>
      <c r="C15" s="8">
        <v>1800</v>
      </c>
      <c r="D15" s="5" t="s">
        <v>40</v>
      </c>
      <c r="E15" s="6" t="s">
        <v>41</v>
      </c>
    </row>
    <row r="16" spans="2:6">
      <c r="B16" s="5" t="s">
        <v>44</v>
      </c>
      <c r="C16" s="8">
        <v>800</v>
      </c>
      <c r="D16" s="5" t="s">
        <v>40</v>
      </c>
      <c r="E16" s="6" t="s">
        <v>41</v>
      </c>
    </row>
    <row r="17" spans="2:5">
      <c r="B17" s="5" t="s">
        <v>45</v>
      </c>
      <c r="C17" s="8">
        <v>1200</v>
      </c>
      <c r="D17" s="5" t="s">
        <v>40</v>
      </c>
      <c r="E17" s="6" t="s">
        <v>41</v>
      </c>
    </row>
    <row r="18" spans="2:5">
      <c r="B18" s="5" t="s">
        <v>46</v>
      </c>
      <c r="C18" s="8">
        <v>1000</v>
      </c>
      <c r="D18" s="5" t="s">
        <v>40</v>
      </c>
      <c r="E18" s="6" t="s">
        <v>41</v>
      </c>
    </row>
    <row r="19" spans="2:5">
      <c r="B19" s="5" t="s">
        <v>47</v>
      </c>
      <c r="C19" s="8">
        <v>1200</v>
      </c>
      <c r="D19" s="5" t="s">
        <v>40</v>
      </c>
      <c r="E19" s="6" t="s">
        <v>41</v>
      </c>
    </row>
    <row r="20" spans="2:5">
      <c r="B20" s="5" t="s">
        <v>48</v>
      </c>
      <c r="C20" s="8">
        <f>SUM(C13:C19)</f>
        <v>14000</v>
      </c>
      <c r="D20" s="5" t="s">
        <v>40</v>
      </c>
      <c r="E20" s="6" t="s">
        <v>49</v>
      </c>
    </row>
    <row r="21" spans="2:5">
      <c r="B21" s="5" t="s">
        <v>50</v>
      </c>
      <c r="C21" s="8">
        <v>1000</v>
      </c>
      <c r="D21" s="5" t="s">
        <v>40</v>
      </c>
      <c r="E21" s="6" t="s">
        <v>51</v>
      </c>
    </row>
    <row r="22" spans="2:5">
      <c r="B22" s="5" t="s">
        <v>52</v>
      </c>
      <c r="C22" s="8">
        <v>12000</v>
      </c>
      <c r="D22" s="5" t="s">
        <v>53</v>
      </c>
      <c r="E22" s="6" t="s">
        <v>54</v>
      </c>
    </row>
    <row r="23" spans="2:5">
      <c r="B23" s="5" t="s">
        <v>55</v>
      </c>
      <c r="C23" s="9">
        <v>0.9</v>
      </c>
      <c r="D23" s="5" t="s">
        <v>56</v>
      </c>
      <c r="E23" s="6" t="s">
        <v>57</v>
      </c>
    </row>
    <row r="24" spans="2:5">
      <c r="B24" s="5" t="s">
        <v>58</v>
      </c>
      <c r="C24" s="8">
        <v>1000000</v>
      </c>
      <c r="D24" s="5" t="s">
        <v>36</v>
      </c>
      <c r="E24" s="6" t="s">
        <v>59</v>
      </c>
    </row>
    <row r="25" spans="2:5">
      <c r="B25" s="5" t="s">
        <v>60</v>
      </c>
      <c r="C25" s="9">
        <v>0.032</v>
      </c>
      <c r="D25" s="5" t="s">
        <v>56</v>
      </c>
      <c r="E25" s="6" t="s">
        <v>61</v>
      </c>
    </row>
    <row r="26" spans="2:5">
      <c r="B26" s="5" t="s">
        <v>62</v>
      </c>
      <c r="C26" s="8">
        <v>15</v>
      </c>
      <c r="D26" s="5" t="s">
        <v>63</v>
      </c>
      <c r="E26" s="6" t="s">
        <v>64</v>
      </c>
    </row>
    <row r="27" spans="2:5">
      <c r="B27" s="5" t="s">
        <v>65</v>
      </c>
      <c r="C27" s="10">
        <f>PMT(C25,C26,-C24)</f>
        <v>84983.01733729772</v>
      </c>
      <c r="D27" s="5" t="s">
        <v>53</v>
      </c>
      <c r="E27" s="6" t="s">
        <v>66</v>
      </c>
    </row>
    <row r="28" spans="2:5">
      <c r="B28" s="5" t="s">
        <v>67</v>
      </c>
      <c r="C28" s="8">
        <v>6</v>
      </c>
      <c r="D28" s="5" t="s">
        <v>27</v>
      </c>
      <c r="E28" s="6" t="s">
        <v>68</v>
      </c>
    </row>
    <row r="29" spans="2:5">
      <c r="B29" s="5" t="s">
        <v>69</v>
      </c>
      <c r="C29" s="8">
        <v>20000</v>
      </c>
      <c r="D29" s="5" t="s">
        <v>53</v>
      </c>
      <c r="E29" s="6" t="s">
        <v>70</v>
      </c>
    </row>
    <row r="30" spans="2:5">
      <c r="B30" s="5" t="s">
        <v>71</v>
      </c>
      <c r="C30" s="8">
        <v>22</v>
      </c>
      <c r="D30" s="5" t="s">
        <v>27</v>
      </c>
      <c r="E30" s="6" t="s">
        <v>72</v>
      </c>
    </row>
    <row r="31" spans="2:5">
      <c r="B31" s="5" t="s">
        <v>73</v>
      </c>
      <c r="C31" s="8">
        <v>9618</v>
      </c>
      <c r="D31" s="5" t="s">
        <v>40</v>
      </c>
      <c r="E31" s="6" t="s">
        <v>74</v>
      </c>
    </row>
    <row r="32" spans="2:5">
      <c r="B32" s="5" t="s">
        <v>75</v>
      </c>
      <c r="C32" s="8">
        <v>63</v>
      </c>
      <c r="D32" s="5" t="s">
        <v>27</v>
      </c>
      <c r="E32" s="6" t="s">
        <v>76</v>
      </c>
    </row>
    <row r="33" spans="2:7">
      <c r="B33" s="5" t="s">
        <v>77</v>
      </c>
      <c r="C33" s="9">
        <v>0.02</v>
      </c>
      <c r="D33" s="5" t="s">
        <v>56</v>
      </c>
      <c r="E33" s="6" t="s">
        <v>78</v>
      </c>
    </row>
    <row r="34" spans="2:7">
      <c r="B34" s="5" t="s">
        <v>79</v>
      </c>
      <c r="C34" s="9">
        <v>0.02</v>
      </c>
      <c r="D34" s="5" t="s">
        <v>80</v>
      </c>
      <c r="E34" s="6" t="s">
        <v>81</v>
      </c>
    </row>
    <row r="35" spans="2:7">
      <c r="B35" s="5" t="s">
        <v>82</v>
      </c>
      <c r="C35" s="9">
        <v>0.05</v>
      </c>
      <c r="D35" s="5" t="s">
        <v>80</v>
      </c>
      <c r="E35" s="6" t="s">
        <v>83</v>
      </c>
    </row>
    <row r="36" spans="2:7">
      <c r="B36" s="5" t="s">
        <v>84</v>
      </c>
      <c r="C36" s="9">
        <v>0.05</v>
      </c>
      <c r="D36" s="5" t="s">
        <v>80</v>
      </c>
      <c r="E36" s="6" t="s">
        <v>83</v>
      </c>
    </row>
    <row r="37" spans="2:7">
      <c r="B37" s="5" t="s">
        <v>85</v>
      </c>
      <c r="C37" s="9">
        <v>0.0384023</v>
      </c>
      <c r="D37" s="5" t="s">
        <v>80</v>
      </c>
      <c r="E37" s="6" t="s">
        <v>86</v>
      </c>
    </row>
    <row r="38" spans="2:7">
      <c r="B38" s="5" t="s">
        <v>87</v>
      </c>
      <c r="C38" s="9">
        <v>0.03</v>
      </c>
      <c r="D38" s="5" t="s">
        <v>80</v>
      </c>
      <c r="E38" s="6" t="s">
        <v>88</v>
      </c>
    </row>
    <row r="39" spans="2:7">
      <c r="B39" s="5" t="s">
        <v>89</v>
      </c>
      <c r="C39" s="8">
        <v>18619052</v>
      </c>
      <c r="D39" s="5" t="s">
        <v>36</v>
      </c>
      <c r="E39" s="6" t="s">
        <v>90</v>
      </c>
    </row>
    <row r="40" spans="2:7">
      <c r="B40" s="5" t="s">
        <v>91</v>
      </c>
      <c r="C40" s="9">
        <v>0.9</v>
      </c>
      <c r="D40" s="5" t="s">
        <v>56</v>
      </c>
      <c r="E40" s="6" t="s">
        <v>92</v>
      </c>
    </row>
    <row r="41" spans="2:7">
      <c r="B41" s="5" t="s">
        <v>93</v>
      </c>
      <c r="C41" s="8">
        <v>0</v>
      </c>
      <c r="D41" s="5" t="s">
        <v>36</v>
      </c>
      <c r="E41" s="6" t="s">
        <v>94</v>
      </c>
    </row>
    <row r="42" spans="2:7">
      <c r="B42" s="5" t="s">
        <v>95</v>
      </c>
      <c r="C42" s="8">
        <v>3000000</v>
      </c>
      <c r="D42" s="5" t="s">
        <v>36</v>
      </c>
      <c r="E42" s="6" t="s">
        <v>96</v>
      </c>
    </row>
    <row r="44" spans="2:7">
      <c r="B44" s="4" t="s">
        <v>97</v>
      </c>
    </row>
    <row r="45" spans="2:7">
      <c r="B45" s="7" t="s">
        <v>98</v>
      </c>
      <c r="C45" s="7" t="s">
        <v>99</v>
      </c>
      <c r="D45" s="7" t="s">
        <v>100</v>
      </c>
      <c r="E45" s="7" t="s">
        <v>101</v>
      </c>
      <c r="F45" s="7" t="s">
        <v>102</v>
      </c>
      <c r="G45" s="7"/>
    </row>
    <row r="46" spans="2:7">
      <c r="B46" s="5" t="s">
        <v>103</v>
      </c>
      <c r="C46" s="8">
        <v>180000</v>
      </c>
      <c r="D46" s="8">
        <v>48</v>
      </c>
      <c r="E46" s="8">
        <v>8</v>
      </c>
      <c r="F46" s="8">
        <v>80</v>
      </c>
    </row>
    <row r="47" spans="2:7">
      <c r="B47" s="5" t="s">
        <v>104</v>
      </c>
      <c r="C47" s="8">
        <v>200000</v>
      </c>
      <c r="D47" s="8">
        <v>50</v>
      </c>
      <c r="E47" s="8">
        <v>15</v>
      </c>
      <c r="F47" s="8">
        <v>80</v>
      </c>
    </row>
    <row r="48" spans="2:7">
      <c r="B48" s="5" t="s">
        <v>105</v>
      </c>
      <c r="C48" s="8">
        <v>60000</v>
      </c>
      <c r="D48" s="8">
        <v>45</v>
      </c>
      <c r="E48" s="8">
        <v>5</v>
      </c>
      <c r="F48" s="8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68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7.7109375" customWidth="1"/>
    <col min="3" max="3" width="9.7109375" customWidth="1"/>
    <col min="4" max="4" width="12.7109375" customWidth="1"/>
    <col min="5" max="5" width="11.7109375" customWidth="1"/>
    <col min="6" max="9" width="10.7109375" customWidth="1"/>
    <col min="10" max="10" width="12.7109375" customWidth="1"/>
    <col min="11" max="11" width="11.7109375" customWidth="1"/>
    <col min="12" max="12" width="12.7109375" customWidth="1"/>
    <col min="13" max="14" width="14.7109375" customWidth="1"/>
  </cols>
  <sheetData>
    <row r="1" spans="1:14">
      <c r="A1" s="1" t="s">
        <v>106</v>
      </c>
    </row>
    <row r="2" spans="1:14">
      <c r="A2" s="2" t="s">
        <v>107</v>
      </c>
    </row>
    <row r="4" spans="1:14">
      <c r="A4" s="11">
        <v>0</v>
      </c>
      <c r="B4" s="11">
        <v>40</v>
      </c>
      <c r="C4" s="11">
        <f>1</f>
        <v>1.0</v>
      </c>
      <c r="D4" s="10">
        <f>参数!$C$20*12*C4*IF(B4&gt;=参数!$C$8,参数!$C$23,1)</f>
        <v>151200.0</v>
      </c>
      <c r="E4" s="10">
        <f>参数!$C$21*12*(1+参数!$C$35)^A4</f>
        <v>12000.0</v>
      </c>
      <c r="F4" s="10">
        <f>参数!$C$22*(1+参数!$C$34)^A4*(1+参数!$C$38)^A4</f>
        <v>12000.0</v>
      </c>
      <c r="G4" s="10">
        <f>IF(A4&lt;参数!$C$26,参数!$C$27,0)</f>
        <v>84983.01733729772</v>
      </c>
      <c r="H4" s="10">
        <f>IF(参数!$C$28+A4&lt;=参数!$C$30,参数!$C$29*(1+参数!$C$36)^A4,0)</f>
        <v>20000.0</v>
      </c>
      <c r="I4" s="10">
        <f>IF(AND(B4&gt;=参数!$D$46,B4&lt;=参数!$F$46,MOD(B4-参数!$D$46,参数!$E$46)=0),参数!$C$46*C4,0)+IF(AND(B4&gt;=参数!$D$47,B4&lt;=参数!$F$47,MOD(B4-参数!$D$47,参数!$E$47)=0),参数!$C$47*C4,0)+IF(AND(B4&gt;=参数!$D$48,B4&lt;=参数!$F$48,MOD(B4-参数!$D$48,参数!$E$48)=0),参数!$C$48*C4,0)</f>
        <v>0.0</v>
      </c>
      <c r="J4" s="10">
        <f>SUM(D4:I4)</f>
        <v>280183.01733729773</v>
      </c>
      <c r="K4" s="10">
        <f>IF(B4&gt;=参数!$C$32,参数!$C$31*12*C4,0)</f>
        <v>0.0</v>
      </c>
      <c r="L4" s="10">
        <f>J4-K4</f>
        <v>280183.01733729773</v>
      </c>
      <c r="M4" s="12">
        <f>参数!$C$39</f>
        <v>18619052</v>
      </c>
      <c r="N4" s="10">
        <f>(M4-L4)*(1+参数!$C$37)</f>
        <v>19043123.73099561</v>
      </c>
    </row>
    <row r="5" spans="1:14">
      <c r="A5" s="11">
        <v>1</v>
      </c>
      <c r="B5" s="11">
        <v>41</v>
      </c>
      <c r="C5" s="11">
        <f>C4*(1+参数!$C$34)</f>
        <v>1.02</v>
      </c>
      <c r="D5" s="10">
        <f>参数!$C$20*12*C5*IF(B5&gt;=参数!$C$8,参数!$C$23,1)</f>
        <v>154224.0</v>
      </c>
      <c r="E5" s="10">
        <f>参数!$C$21*12*(1+参数!$C$35)^A5</f>
        <v>12600.0</v>
      </c>
      <c r="F5" s="10">
        <f>参数!$C$22*(1+参数!$C$34)^A5*(1+参数!$C$38)^A5</f>
        <v>12607.2</v>
      </c>
      <c r="G5" s="10">
        <f>IF(A5&lt;参数!$C$26,参数!$C$27,0)</f>
        <v>84983.01733729772</v>
      </c>
      <c r="H5" s="10">
        <f>IF(参数!$C$28+A5&lt;=参数!$C$30,参数!$C$29*(1+参数!$C$36)^A5,0)</f>
        <v>21000.0</v>
      </c>
      <c r="I5" s="10">
        <f>IF(AND(B5&gt;=参数!$D$46,B5&lt;=参数!$F$46,MOD(B5-参数!$D$46,参数!$E$46)=0),参数!$C$46*C5,0)+IF(AND(B5&gt;=参数!$D$47,B5&lt;=参数!$F$47,MOD(B5-参数!$D$47,参数!$E$47)=0),参数!$C$47*C5,0)+IF(AND(B5&gt;=参数!$D$48,B5&lt;=参数!$F$48,MOD(B5-参数!$D$48,参数!$E$48)=0),参数!$C$48*C5,0)</f>
        <v>0.0</v>
      </c>
      <c r="J5" s="10">
        <f>SUM(D5:I5)</f>
        <v>285414.21733729774</v>
      </c>
      <c r="K5" s="10">
        <f>IF(B5&gt;=参数!$C$32,参数!$C$31*12*C5,0)</f>
        <v>0.0</v>
      </c>
      <c r="L5" s="10">
        <f>J5-K5</f>
        <v>285414.21733729774</v>
      </c>
      <c r="M5" s="12">
        <f>N4</f>
        <v>19043123.73099561</v>
      </c>
      <c r="N5" s="10">
        <f>(M5-L5)*(1+参数!$C$37)</f>
        <v>19478048.701714672</v>
      </c>
    </row>
    <row r="6" spans="1:14">
      <c r="A6" s="11">
        <v>2</v>
      </c>
      <c r="B6" s="11">
        <v>42</v>
      </c>
      <c r="C6" s="11">
        <f>C5*(1+参数!$C$34)</f>
        <v>1.0404</v>
      </c>
      <c r="D6" s="10">
        <f>参数!$C$20*12*C6*IF(B6&gt;=参数!$C$8,参数!$C$23,1)</f>
        <v>157308.48</v>
      </c>
      <c r="E6" s="10">
        <f>参数!$C$21*12*(1+参数!$C$35)^A6</f>
        <v>13230.0</v>
      </c>
      <c r="F6" s="10">
        <f>参数!$C$22*(1+参数!$C$34)^A6*(1+参数!$C$38)^A6</f>
        <v>13245.124319999999</v>
      </c>
      <c r="G6" s="10">
        <f>IF(A6&lt;参数!$C$26,参数!$C$27,0)</f>
        <v>84983.01733729772</v>
      </c>
      <c r="H6" s="10">
        <f>IF(参数!$C$28+A6&lt;=参数!$C$30,参数!$C$29*(1+参数!$C$36)^A6,0)</f>
        <v>22050.0</v>
      </c>
      <c r="I6" s="10">
        <f>IF(AND(B6&gt;=参数!$D$46,B6&lt;=参数!$F$46,MOD(B6-参数!$D$46,参数!$E$46)=0),参数!$C$46*C6,0)+IF(AND(B6&gt;=参数!$D$47,B6&lt;=参数!$F$47,MOD(B6-参数!$D$47,参数!$E$47)=0),参数!$C$47*C6,0)+IF(AND(B6&gt;=参数!$D$48,B6&lt;=参数!$F$48,MOD(B6-参数!$D$48,参数!$E$48)=0),参数!$C$48*C6,0)</f>
        <v>0.0</v>
      </c>
      <c r="J6" s="10">
        <f>SUM(D6:I6)</f>
        <v>290816.6216572977</v>
      </c>
      <c r="K6" s="10">
        <f>IF(B6&gt;=参数!$C$32,参数!$C$31*12*C6,0)</f>
        <v>0.0</v>
      </c>
      <c r="L6" s="10">
        <f>J6-K6</f>
        <v>290816.6216572977</v>
      </c>
      <c r="M6" s="12">
        <f>N5</f>
        <v>19478048.701714672</v>
      </c>
      <c r="N6" s="10">
        <f>(M6-L6)*(1+参数!$C$37)</f>
        <v>19924065.922565363</v>
      </c>
    </row>
    <row r="7" spans="1:14">
      <c r="A7" s="11">
        <v>3</v>
      </c>
      <c r="B7" s="11">
        <v>43</v>
      </c>
      <c r="C7" s="11">
        <f>C6*(1+参数!$C$34)</f>
        <v>1.0612080000000002</v>
      </c>
      <c r="D7" s="10">
        <f>参数!$C$20*12*C7*IF(B7&gt;=参数!$C$8,参数!$C$23,1)</f>
        <v>160454.64960000003</v>
      </c>
      <c r="E7" s="10">
        <f>参数!$C$21*12*(1+参数!$C$35)^A7</f>
        <v>13891.500000000002</v>
      </c>
      <c r="F7" s="10">
        <f>参数!$C$22*(1+参数!$C$34)^A7*(1+参数!$C$38)^A7</f>
        <v>13915.327610592001</v>
      </c>
      <c r="G7" s="10">
        <f>IF(A7&lt;参数!$C$26,参数!$C$27,0)</f>
        <v>84983.01733729772</v>
      </c>
      <c r="H7" s="10">
        <f>IF(参数!$C$28+A7&lt;=参数!$C$30,参数!$C$29*(1+参数!$C$36)^A7,0)</f>
        <v>23152.500000000004</v>
      </c>
      <c r="I7" s="10">
        <f>IF(AND(B7&gt;=参数!$D$46,B7&lt;=参数!$F$46,MOD(B7-参数!$D$46,参数!$E$46)=0),参数!$C$46*C7,0)+IF(AND(B7&gt;=参数!$D$47,B7&lt;=参数!$F$47,MOD(B7-参数!$D$47,参数!$E$47)=0),参数!$C$47*C7,0)+IF(AND(B7&gt;=参数!$D$48,B7&lt;=参数!$F$48,MOD(B7-参数!$D$48,参数!$E$48)=0),参数!$C$48*C7,0)</f>
        <v>0.0</v>
      </c>
      <c r="J7" s="10">
        <f>SUM(D7:I7)</f>
        <v>296396.99454788974</v>
      </c>
      <c r="K7" s="10">
        <f>IF(B7&gt;=参数!$C$32,参数!$C$31*12*C7,0)</f>
        <v>0.0</v>
      </c>
      <c r="L7" s="10">
        <f>J7-K7</f>
        <v>296396.99454788974</v>
      </c>
      <c r="M7" s="12">
        <f>N6</f>
        <v>19924065.922565363</v>
      </c>
      <c r="N7" s="10">
        <f>(M7-L7)*(1+参数!$C$37)</f>
        <v>20381416.558491882</v>
      </c>
    </row>
    <row r="8" spans="1:14">
      <c r="A8" s="11">
        <v>4</v>
      </c>
      <c r="B8" s="11">
        <v>44</v>
      </c>
      <c r="C8" s="11">
        <f>C7*(1+参数!$C$34)</f>
        <v>1.08243216</v>
      </c>
      <c r="D8" s="10">
        <f>参数!$C$20*12*C8*IF(B8&gt;=参数!$C$8,参数!$C$23,1)</f>
        <v>163663.742592</v>
      </c>
      <c r="E8" s="10">
        <f>参数!$C$21*12*(1+参数!$C$35)^A8</f>
        <v>14586.075000000003</v>
      </c>
      <c r="F8" s="10">
        <f>参数!$C$22*(1+参数!$C$34)^A8*(1+参数!$C$38)^A8</f>
        <v>14619.443187687957</v>
      </c>
      <c r="G8" s="10">
        <f>IF(A8&lt;参数!$C$26,参数!$C$27,0)</f>
        <v>84983.01733729772</v>
      </c>
      <c r="H8" s="10">
        <f>IF(参数!$C$28+A8&lt;=参数!$C$30,参数!$C$29*(1+参数!$C$36)^A8,0)</f>
        <v>24310.125000000004</v>
      </c>
      <c r="I8" s="10">
        <f>IF(AND(B8&gt;=参数!$D$46,B8&lt;=参数!$F$46,MOD(B8-参数!$D$46,参数!$E$46)=0),参数!$C$46*C8,0)+IF(AND(B8&gt;=参数!$D$47,B8&lt;=参数!$F$47,MOD(B8-参数!$D$47,参数!$E$47)=0),参数!$C$47*C8,0)+IF(AND(B8&gt;=参数!$D$48,B8&lt;=参数!$F$48,MOD(B8-参数!$D$48,参数!$E$48)=0),参数!$C$48*C8,0)</f>
        <v>0.0</v>
      </c>
      <c r="J8" s="10">
        <f>SUM(D8:I8)</f>
        <v>302162.4031169857</v>
      </c>
      <c r="K8" s="10">
        <f>IF(B8&gt;=参数!$C$32,参数!$C$31*12*C8,0)</f>
        <v>0.0</v>
      </c>
      <c r="L8" s="10">
        <f>J8-K8</f>
        <v>302162.4031169857</v>
      </c>
      <c r="M8" s="12">
        <f>N7</f>
        <v>20381416.558491882</v>
      </c>
      <c r="N8" s="10">
        <f>(M8-L8)*(1+参数!$C$37)</f>
        <v>20850343.69722585</v>
      </c>
    </row>
    <row r="9" spans="1:14">
      <c r="A9" s="11">
        <v>5</v>
      </c>
      <c r="B9" s="11">
        <v>45</v>
      </c>
      <c r="C9" s="11">
        <f>C8*(1+参数!$C$34)</f>
        <v>1.1040808032</v>
      </c>
      <c r="D9" s="10">
        <f>参数!$C$20*12*C9*IF(B9&gt;=参数!$C$8,参数!$C$23,1)</f>
        <v>166937.01744384</v>
      </c>
      <c r="E9" s="10">
        <f>参数!$C$21*12*(1+参数!$C$35)^A9</f>
        <v>15315.378750000003</v>
      </c>
      <c r="F9" s="10">
        <f>参数!$C$22*(1+参数!$C$34)^A9*(1+参数!$C$38)^A9</f>
        <v>15359.187012984967</v>
      </c>
      <c r="G9" s="10">
        <f>IF(A9&lt;参数!$C$26,参数!$C$27,0)</f>
        <v>84983.01733729772</v>
      </c>
      <c r="H9" s="10">
        <f>IF(参数!$C$28+A9&lt;=参数!$C$30,参数!$C$29*(1+参数!$C$36)^A9,0)</f>
        <v>25525.631250000006</v>
      </c>
      <c r="I9" s="10">
        <f>IF(AND(B9&gt;=参数!$D$46,B9&lt;=参数!$F$46,MOD(B9-参数!$D$46,参数!$E$46)=0),参数!$C$46*C9,0)+IF(AND(B9&gt;=参数!$D$47,B9&lt;=参数!$F$47,MOD(B9-参数!$D$47,参数!$E$47)=0),参数!$C$47*C9,0)+IF(AND(B9&gt;=参数!$D$48,B9&lt;=参数!$F$48,MOD(B9-参数!$D$48,参数!$E$48)=0),参数!$C$48*C9,0)</f>
        <v>66244.848192</v>
      </c>
      <c r="J9" s="10">
        <f>SUM(D9:I9)</f>
        <v>374365.0799861227</v>
      </c>
      <c r="K9" s="10">
        <f>IF(B9&gt;=参数!$C$32,参数!$C$31*12*C9,0)</f>
        <v>0.0</v>
      </c>
      <c r="L9" s="10">
        <f>J9-K9</f>
        <v>374365.0799861227</v>
      </c>
      <c r="M9" s="12">
        <f>N8</f>
        <v>20850343.69722585</v>
      </c>
      <c r="N9" s="10">
        <f>(M9-L9)*(1+参数!$C$37)</f>
        <v>21262303.290892553</v>
      </c>
    </row>
    <row r="10" spans="1:14">
      <c r="A10" s="11">
        <v>6</v>
      </c>
      <c r="B10" s="11">
        <v>46</v>
      </c>
      <c r="C10" s="11">
        <f>C9*(1+参数!$C$34)</f>
        <v>1.126162419264</v>
      </c>
      <c r="D10" s="10">
        <f>参数!$C$20*12*C10*IF(B10&gt;=参数!$C$8,参数!$C$23,1)</f>
        <v>170275.75779271682</v>
      </c>
      <c r="E10" s="10">
        <f>参数!$C$21*12*(1+参数!$C$35)^A10</f>
        <v>16081.147687500004</v>
      </c>
      <c r="F10" s="10">
        <f>参数!$C$22*(1+参数!$C$34)^A10*(1+参数!$C$38)^A10</f>
        <v>16136.361875842007</v>
      </c>
      <c r="G10" s="10">
        <f>IF(A10&lt;参数!$C$26,参数!$C$27,0)</f>
        <v>84983.01733729772</v>
      </c>
      <c r="H10" s="10">
        <f>IF(参数!$C$28+A10&lt;=参数!$C$30,参数!$C$29*(1+参数!$C$36)^A10,0)</f>
        <v>26801.91281250001</v>
      </c>
      <c r="I10" s="10">
        <f>IF(AND(B10&gt;=参数!$D$46,B10&lt;=参数!$F$46,MOD(B10-参数!$D$46,参数!$E$46)=0),参数!$C$46*C10,0)+IF(AND(B10&gt;=参数!$D$47,B10&lt;=参数!$F$47,MOD(B10-参数!$D$47,参数!$E$47)=0),参数!$C$47*C10,0)+IF(AND(B10&gt;=参数!$D$48,B10&lt;=参数!$F$48,MOD(B10-参数!$D$48,参数!$E$48)=0),参数!$C$48*C10,0)</f>
        <v>0.0</v>
      </c>
      <c r="J10" s="10">
        <f>SUM(D10:I10)</f>
        <v>314278.1975058566</v>
      </c>
      <c r="K10" s="10">
        <f>IF(B10&gt;=参数!$C$32,参数!$C$31*12*C10,0)</f>
        <v>0.0</v>
      </c>
      <c r="L10" s="10">
        <f>J10-K10</f>
        <v>314278.1975058566</v>
      </c>
      <c r="M10" s="12">
        <f>N9</f>
        <v>21262303.290892553</v>
      </c>
      <c r="N10" s="10">
        <f>(M10-L10)*(1+参数!$C$37)</f>
        <v>21752477.43743046</v>
      </c>
    </row>
    <row r="11" spans="1:14">
      <c r="A11" s="11">
        <v>7</v>
      </c>
      <c r="B11" s="11">
        <v>47</v>
      </c>
      <c r="C11" s="11">
        <f>C10*(1+参数!$C$34)</f>
        <v>1.14868566764928</v>
      </c>
      <c r="D11" s="10">
        <f>参数!$C$20*12*C11*IF(B11&gt;=参数!$C$8,参数!$C$23,1)</f>
        <v>173681.27294857116</v>
      </c>
      <c r="E11" s="10">
        <f>参数!$C$21*12*(1+参数!$C$35)^A11</f>
        <v>16885.205071875007</v>
      </c>
      <c r="F11" s="10">
        <f>参数!$C$22*(1+参数!$C$34)^A11*(1+参数!$C$38)^A11</f>
        <v>16952.86178675961</v>
      </c>
      <c r="G11" s="10">
        <f>IF(A11&lt;参数!$C$26,参数!$C$27,0)</f>
        <v>84983.01733729772</v>
      </c>
      <c r="H11" s="10">
        <f>IF(参数!$C$28+A11&lt;=参数!$C$30,参数!$C$29*(1+参数!$C$36)^A11,0)</f>
        <v>28142.00845312501</v>
      </c>
      <c r="I11" s="10">
        <f>IF(AND(B11&gt;=参数!$D$46,B11&lt;=参数!$F$46,MOD(B11-参数!$D$46,参数!$E$46)=0),参数!$C$46*C11,0)+IF(AND(B11&gt;=参数!$D$47,B11&lt;=参数!$F$47,MOD(B11-参数!$D$47,参数!$E$47)=0),参数!$C$47*C11,0)+IF(AND(B11&gt;=参数!$D$48,B11&lt;=参数!$F$48,MOD(B11-参数!$D$48,参数!$E$48)=0),参数!$C$48*C11,0)</f>
        <v>0.0</v>
      </c>
      <c r="J11" s="10">
        <f>SUM(D11:I11)</f>
        <v>320644.3655976285</v>
      </c>
      <c r="K11" s="10">
        <f>IF(B11&gt;=参数!$C$32,参数!$C$31*12*C11,0)</f>
        <v>0.0</v>
      </c>
      <c r="L11" s="10">
        <f>J11-K11</f>
        <v>320644.3655976285</v>
      </c>
      <c r="M11" s="12">
        <f>N10</f>
        <v>21752477.43743046</v>
      </c>
      <c r="N11" s="10">
        <f>(M11-L11)*(1+参数!$C$37)</f>
        <v>22254864.75500728</v>
      </c>
    </row>
    <row r="12" spans="1:14">
      <c r="A12" s="11">
        <v>8</v>
      </c>
      <c r="B12" s="11">
        <v>48</v>
      </c>
      <c r="C12" s="11">
        <f>C11*(1+参数!$C$34)</f>
        <v>1.1716593810022657</v>
      </c>
      <c r="D12" s="10">
        <f>参数!$C$20*12*C12*IF(B12&gt;=参数!$C$8,参数!$C$23,1)</f>
        <v>177154.89840754258</v>
      </c>
      <c r="E12" s="10">
        <f>参数!$C$21*12*(1+参数!$C$35)^A12</f>
        <v>17729.465325468755</v>
      </c>
      <c r="F12" s="10">
        <f>参数!$C$22*(1+参数!$C$34)^A12*(1+参数!$C$38)^A12</f>
        <v>17810.676593169654</v>
      </c>
      <c r="G12" s="10">
        <f>IF(A12&lt;参数!$C$26,参数!$C$27,0)</f>
        <v>84983.01733729772</v>
      </c>
      <c r="H12" s="10">
        <f>IF(参数!$C$28+A12&lt;=参数!$C$30,参数!$C$29*(1+参数!$C$36)^A12,0)</f>
        <v>29549.10887578126</v>
      </c>
      <c r="I12" s="10">
        <f>IF(AND(B12&gt;=参数!$D$46,B12&lt;=参数!$F$46,MOD(B12-参数!$D$46,参数!$E$46)=0),参数!$C$46*C12,0)+IF(AND(B12&gt;=参数!$D$47,B12&lt;=参数!$F$47,MOD(B12-参数!$D$47,参数!$E$47)=0),参数!$C$47*C12,0)+IF(AND(B12&gt;=参数!$D$48,B12&lt;=参数!$F$48,MOD(B12-参数!$D$48,参数!$E$48)=0),参数!$C$48*C12,0)</f>
        <v>210898.68858040782</v>
      </c>
      <c r="J12" s="10">
        <f>SUM(D12:I12)</f>
        <v>538125.8551196677</v>
      </c>
      <c r="K12" s="10">
        <f>IF(B12&gt;=参数!$C$32,参数!$C$31*12*C12,0)</f>
        <v>0.0</v>
      </c>
      <c r="L12" s="10">
        <f>J12-K12</f>
        <v>538125.8551196677</v>
      </c>
      <c r="M12" s="12">
        <f>N11</f>
        <v>22254864.75500728</v>
      </c>
      <c r="N12" s="10">
        <f>(M12-L12)*(1+参数!$C$37)</f>
        <v>22550711.622142766</v>
      </c>
    </row>
    <row r="13" spans="1:14">
      <c r="A13" s="11">
        <v>9</v>
      </c>
      <c r="B13" s="11">
        <v>49</v>
      </c>
      <c r="C13" s="11">
        <f>C12*(1+参数!$C$34)</f>
        <v>1.195092568622311</v>
      </c>
      <c r="D13" s="10">
        <f>参数!$C$20*12*C13*IF(B13&gt;=参数!$C$8,参数!$C$23,1)</f>
        <v>180697.99637569344</v>
      </c>
      <c r="E13" s="10">
        <f>参数!$C$21*12*(1+参数!$C$35)^A13</f>
        <v>18615.938591742193</v>
      </c>
      <c r="F13" s="10">
        <f>参数!$C$22*(1+参数!$C$34)^A13*(1+参数!$C$38)^A13</f>
        <v>18711.896828784036</v>
      </c>
      <c r="G13" s="10">
        <f>IF(A13&lt;参数!$C$26,参数!$C$27,0)</f>
        <v>84983.01733729772</v>
      </c>
      <c r="H13" s="10">
        <f>IF(参数!$C$28+A13&lt;=参数!$C$30,参数!$C$29*(1+参数!$C$36)^A13,0)</f>
        <v>31026.564319570323</v>
      </c>
      <c r="I13" s="10">
        <f>IF(AND(B13&gt;=参数!$D$46,B13&lt;=参数!$F$46,MOD(B13-参数!$D$46,参数!$E$46)=0),参数!$C$46*C13,0)+IF(AND(B13&gt;=参数!$D$47,B13&lt;=参数!$F$47,MOD(B13-参数!$D$47,参数!$E$47)=0),参数!$C$47*C13,0)+IF(AND(B13&gt;=参数!$D$48,B13&lt;=参数!$F$48,MOD(B13-参数!$D$48,参数!$E$48)=0),参数!$C$48*C13,0)</f>
        <v>0.0</v>
      </c>
      <c r="J13" s="10">
        <f>SUM(D13:I13)</f>
        <v>334035.4134530877</v>
      </c>
      <c r="K13" s="10">
        <f>IF(B13&gt;=参数!$C$32,参数!$C$31*12*C13,0)</f>
        <v>0.0</v>
      </c>
      <c r="L13" s="10">
        <f>J13-K13</f>
        <v>334035.4134530877</v>
      </c>
      <c r="M13" s="12">
        <f>N12</f>
        <v>22550711.622142766</v>
      </c>
      <c r="N13" s="10">
        <f>(M13-L13)*(1+参数!$C$37)</f>
        <v>23069847.673458643</v>
      </c>
    </row>
    <row r="14" spans="1:14">
      <c r="A14" s="11">
        <v>10</v>
      </c>
      <c r="B14" s="11">
        <v>50</v>
      </c>
      <c r="C14" s="11">
        <f>C13*(1+参数!$C$34)</f>
        <v>1.2189944199947573</v>
      </c>
      <c r="D14" s="10">
        <f>参数!$C$20*12*C14*IF(B14&gt;=参数!$C$8,参数!$C$23,1)</f>
        <v>184311.9563032073</v>
      </c>
      <c r="E14" s="10">
        <f>参数!$C$21*12*(1+参数!$C$35)^A14</f>
        <v>19546.735521329305</v>
      </c>
      <c r="F14" s="10">
        <f>参数!$C$22*(1+参数!$C$34)^A14*(1+参数!$C$38)^A14</f>
        <v>19658.71880832051</v>
      </c>
      <c r="G14" s="10">
        <f>IF(A14&lt;参数!$C$26,参数!$C$27,0)</f>
        <v>84983.01733729772</v>
      </c>
      <c r="H14" s="10">
        <f>IF(参数!$C$28+A14&lt;=参数!$C$30,参数!$C$29*(1+参数!$C$36)^A14,0)</f>
        <v>32577.89253554884</v>
      </c>
      <c r="I14" s="10">
        <f>IF(AND(B14&gt;=参数!$D$46,B14&lt;=参数!$F$46,MOD(B14-参数!$D$46,参数!$E$46)=0),参数!$C$46*C14,0)+IF(AND(B14&gt;=参数!$D$47,B14&lt;=参数!$F$47,MOD(B14-参数!$D$47,参数!$E$47)=0),参数!$C$47*C14,0)+IF(AND(B14&gt;=参数!$D$48,B14&lt;=参数!$F$48,MOD(B14-参数!$D$48,参数!$E$48)=0),参数!$C$48*C14,0)</f>
        <v>316938.5491986369</v>
      </c>
      <c r="J14" s="10">
        <f>SUM(D14:I14)</f>
        <v>658016.8697043406</v>
      </c>
      <c r="K14" s="10">
        <f>IF(B14&gt;=参数!$C$32,参数!$C$31*12*C14,0)</f>
        <v>0.0</v>
      </c>
      <c r="L14" s="10">
        <f>J14-K14</f>
        <v>658016.8697043406</v>
      </c>
      <c r="M14" s="12">
        <f>N13</f>
        <v>23069847.673458643</v>
      </c>
      <c r="N14" s="10">
        <f>(M14-L14)*(1+参数!$C$37)</f>
        <v>23272496.653829318</v>
      </c>
    </row>
    <row r="15" spans="1:14">
      <c r="A15" s="11">
        <v>11</v>
      </c>
      <c r="B15" s="11">
        <v>51</v>
      </c>
      <c r="C15" s="11">
        <f>C14*(1+参数!$C$34)</f>
        <v>1.2433743083946525</v>
      </c>
      <c r="D15" s="10">
        <f>参数!$C$20*12*C15*IF(B15&gt;=参数!$C$8,参数!$C$23,1)</f>
        <v>187998.19542927144</v>
      </c>
      <c r="E15" s="10">
        <f>参数!$C$21*12*(1+参数!$C$35)^A15</f>
        <v>20524.07229739577</v>
      </c>
      <c r="F15" s="10">
        <f>参数!$C$22*(1+参数!$C$34)^A15*(1+参数!$C$38)^A15</f>
        <v>20653.449980021527</v>
      </c>
      <c r="G15" s="10">
        <f>IF(A15&lt;参数!$C$26,参数!$C$27,0)</f>
        <v>84983.01733729772</v>
      </c>
      <c r="H15" s="10">
        <f>IF(参数!$C$28+A15&lt;=参数!$C$30,参数!$C$29*(1+参数!$C$36)^A15,0)</f>
        <v>34206.78716232628</v>
      </c>
      <c r="I15" s="10">
        <f>IF(AND(B15&gt;=参数!$D$46,B15&lt;=参数!$F$46,MOD(B15-参数!$D$46,参数!$E$46)=0),参数!$C$46*C15,0)+IF(AND(B15&gt;=参数!$D$47,B15&lt;=参数!$F$47,MOD(B15-参数!$D$47,参数!$E$47)=0),参数!$C$47*C15,0)+IF(AND(B15&gt;=参数!$D$48,B15&lt;=参数!$F$48,MOD(B15-参数!$D$48,参数!$E$48)=0),参数!$C$48*C15,0)</f>
        <v>0.0</v>
      </c>
      <c r="J15" s="10">
        <f>SUM(D15:I15)</f>
        <v>348365.52220631274</v>
      </c>
      <c r="K15" s="10">
        <f>IF(B15&gt;=参数!$C$32,参数!$C$31*12*C15,0)</f>
        <v>0.0</v>
      </c>
      <c r="L15" s="10">
        <f>J15-K15</f>
        <v>348365.52220631274</v>
      </c>
      <c r="M15" s="12">
        <f>N14</f>
        <v>23272496.653829318</v>
      </c>
      <c r="N15" s="10">
        <f>(M15-L15)*(1+参数!$C$37)</f>
        <v>23804470.49257893</v>
      </c>
    </row>
    <row r="16" spans="1:14">
      <c r="A16" s="11">
        <v>12</v>
      </c>
      <c r="B16" s="11">
        <v>52</v>
      </c>
      <c r="C16" s="11">
        <f>C15*(1+参数!$C$34)</f>
        <v>1.2682417945625455</v>
      </c>
      <c r="D16" s="10">
        <f>参数!$C$20*12*C16*IF(B16&gt;=参数!$C$8,参数!$C$23,1)</f>
        <v>191758.1593378569</v>
      </c>
      <c r="E16" s="10">
        <f>参数!$C$21*12*(1+参数!$C$35)^A16</f>
        <v>21550.275912265563</v>
      </c>
      <c r="F16" s="10">
        <f>参数!$C$22*(1+参数!$C$34)^A16*(1+参数!$C$38)^A16</f>
        <v>21698.51454901062</v>
      </c>
      <c r="G16" s="10">
        <f>IF(A16&lt;参数!$C$26,参数!$C$27,0)</f>
        <v>84983.01733729772</v>
      </c>
      <c r="H16" s="10">
        <f>IF(参数!$C$28+A16&lt;=参数!$C$30,参数!$C$29*(1+参数!$C$36)^A16,0)</f>
        <v>35917.1265204426</v>
      </c>
      <c r="I16" s="10">
        <f>IF(AND(B16&gt;=参数!$D$46,B16&lt;=参数!$F$46,MOD(B16-参数!$D$46,参数!$E$46)=0),参数!$C$46*C16,0)+IF(AND(B16&gt;=参数!$D$47,B16&lt;=参数!$F$47,MOD(B16-参数!$D$47,参数!$E$47)=0),参数!$C$47*C16,0)+IF(AND(B16&gt;=参数!$D$48,B16&lt;=参数!$F$48,MOD(B16-参数!$D$48,参数!$E$48)=0),参数!$C$48*C16,0)</f>
        <v>0.0</v>
      </c>
      <c r="J16" s="10">
        <f>SUM(D16:I16)</f>
        <v>355907.0936568734</v>
      </c>
      <c r="K16" s="10">
        <f>IF(B16&gt;=参数!$C$32,参数!$C$31*12*C16,0)</f>
        <v>0.0</v>
      </c>
      <c r="L16" s="10">
        <f>J16-K16</f>
        <v>355907.0936568734</v>
      </c>
      <c r="M16" s="12">
        <f>N15</f>
        <v>23804470.49257893</v>
      </c>
      <c r="N16" s="10">
        <f>(M16-L16)*(1+参数!$C$37)</f>
        <v>24349042.16513648</v>
      </c>
    </row>
    <row r="17" spans="1:14">
      <c r="A17" s="11">
        <v>13</v>
      </c>
      <c r="B17" s="11">
        <v>53</v>
      </c>
      <c r="C17" s="11">
        <f>C16*(1+参数!$C$34)</f>
        <v>1.2936066304537965</v>
      </c>
      <c r="D17" s="10">
        <f>参数!$C$20*12*C17*IF(B17&gt;=参数!$C$8,参数!$C$23,1)</f>
        <v>195593.32252461405</v>
      </c>
      <c r="E17" s="10">
        <f>参数!$C$21*12*(1+参数!$C$35)^A17</f>
        <v>22627.78970787884</v>
      </c>
      <c r="F17" s="10">
        <f>参数!$C$22*(1+参数!$C$34)^A17*(1+参数!$C$38)^A17</f>
        <v>22796.45938519056</v>
      </c>
      <c r="G17" s="10">
        <f>IF(A17&lt;参数!$C$26,参数!$C$27,0)</f>
        <v>84983.01733729772</v>
      </c>
      <c r="H17" s="10">
        <f>IF(参数!$C$28+A17&lt;=参数!$C$30,参数!$C$29*(1+参数!$C$36)^A17,0)</f>
        <v>37712.982846464736</v>
      </c>
      <c r="I17" s="10">
        <f>IF(AND(B17&gt;=参数!$D$46,B17&lt;=参数!$F$46,MOD(B17-参数!$D$46,参数!$E$46)=0),参数!$C$46*C17,0)+IF(AND(B17&gt;=参数!$D$47,B17&lt;=参数!$F$47,MOD(B17-参数!$D$47,参数!$E$47)=0),参数!$C$47*C17,0)+IF(AND(B17&gt;=参数!$D$48,B17&lt;=参数!$F$48,MOD(B17-参数!$D$48,参数!$E$48)=0),参数!$C$48*C17,0)</f>
        <v>0.0</v>
      </c>
      <c r="J17" s="10">
        <f>SUM(D17:I17)</f>
        <v>363713.5718014459</v>
      </c>
      <c r="K17" s="10">
        <f>IF(B17&gt;=参数!$C$32,参数!$C$31*12*C17,0)</f>
        <v>0.0</v>
      </c>
      <c r="L17" s="10">
        <f>J17-K17</f>
        <v>363713.5718014459</v>
      </c>
      <c r="M17" s="12">
        <f>N16</f>
        <v>24349042.16513648</v>
      </c>
      <c r="N17" s="10">
        <f>(M17-L17)*(1+参数!$C$37)</f>
        <v>24906420.37757486</v>
      </c>
    </row>
    <row r="18" spans="1:14">
      <c r="A18" s="11">
        <v>14</v>
      </c>
      <c r="B18" s="11">
        <v>54</v>
      </c>
      <c r="C18" s="11">
        <f>C17*(1+参数!$C$34)</f>
        <v>1.3194787630628724</v>
      </c>
      <c r="D18" s="10">
        <f>参数!$C$20*12*C18*IF(B18&gt;=参数!$C$8,参数!$C$23,1)</f>
        <v>199505.1889751063</v>
      </c>
      <c r="E18" s="10">
        <f>参数!$C$21*12*(1+参数!$C$35)^A18</f>
        <v>23759.179193272783</v>
      </c>
      <c r="F18" s="10">
        <f>参数!$C$22*(1+参数!$C$34)^A18*(1+参数!$C$38)^A18</f>
        <v>23949.960230081204</v>
      </c>
      <c r="G18" s="10">
        <f>IF(A18&lt;参数!$C$26,参数!$C$27,0)</f>
        <v>84983.01733729772</v>
      </c>
      <c r="H18" s="10">
        <f>IF(参数!$C$28+A18&lt;=参数!$C$30,参数!$C$29*(1+参数!$C$36)^A18,0)</f>
        <v>39598.63198878797</v>
      </c>
      <c r="I18" s="10">
        <f>IF(AND(B18&gt;=参数!$D$46,B18&lt;=参数!$F$46,MOD(B18-参数!$D$46,参数!$E$46)=0),参数!$C$46*C18,0)+IF(AND(B18&gt;=参数!$D$47,B18&lt;=参数!$F$47,MOD(B18-参数!$D$47,参数!$E$47)=0),参数!$C$47*C18,0)+IF(AND(B18&gt;=参数!$D$48,B18&lt;=参数!$F$48,MOD(B18-参数!$D$48,参数!$E$48)=0),参数!$C$48*C18,0)</f>
        <v>0.0</v>
      </c>
      <c r="J18" s="10">
        <f>SUM(D18:I18)</f>
        <v>371795.977724546</v>
      </c>
      <c r="K18" s="10">
        <f>IF(B18&gt;=参数!$C$32,参数!$C$31*12*C18,0)</f>
        <v>0.0</v>
      </c>
      <c r="L18" s="10">
        <f>J18-K18</f>
        <v>371795.977724546</v>
      </c>
      <c r="M18" s="12">
        <f>N17</f>
        <v>24906420.37757486</v>
      </c>
      <c r="N18" s="10">
        <f>(M18-L18)*(1+参数!$C$37)</f>
        <v>25476810.406440686</v>
      </c>
    </row>
    <row r="19" spans="1:14">
      <c r="A19" s="11">
        <v>15</v>
      </c>
      <c r="B19" s="11">
        <v>55</v>
      </c>
      <c r="C19" s="11">
        <f>C18*(1+参数!$C$34)</f>
        <v>1.3458683383241299</v>
      </c>
      <c r="D19" s="10">
        <f>参数!$C$20*12*C19*IF(B19&gt;=参数!$C$8,参数!$C$23,1)</f>
        <v>203495.29275460844</v>
      </c>
      <c r="E19" s="10">
        <f>参数!$C$21*12*(1+参数!$C$35)^A19</f>
        <v>24947.138152936426</v>
      </c>
      <c r="F19" s="10">
        <f>参数!$C$22*(1+参数!$C$34)^A19*(1+参数!$C$38)^A19</f>
        <v>25161.82821772331</v>
      </c>
      <c r="G19" s="10">
        <f>IF(A19&lt;参数!$C$26,参数!$C$27,0)</f>
        <v>0.0</v>
      </c>
      <c r="H19" s="10">
        <f>IF(参数!$C$28+A19&lt;=参数!$C$30,参数!$C$29*(1+参数!$C$36)^A19,0)</f>
        <v>41578.56358822738</v>
      </c>
      <c r="I19" s="10">
        <f>IF(AND(B19&gt;=参数!$D$46,B19&lt;=参数!$F$46,MOD(B19-参数!$D$46,参数!$E$46)=0),参数!$C$46*C19,0)+IF(AND(B19&gt;=参数!$D$47,B19&lt;=参数!$F$47,MOD(B19-参数!$D$47,参数!$E$47)=0),参数!$C$47*C19,0)+IF(AND(B19&gt;=参数!$D$48,B19&lt;=参数!$F$48,MOD(B19-参数!$D$48,参数!$E$48)=0),参数!$C$48*C19,0)</f>
        <v>80752.10029944779</v>
      </c>
      <c r="J19" s="10">
        <f>SUM(D19:I19)</f>
        <v>375934.92301294336</v>
      </c>
      <c r="K19" s="10">
        <f>IF(B19&gt;=参数!$C$32,参数!$C$31*12*C19,0)</f>
        <v>0.0</v>
      </c>
      <c r="L19" s="10">
        <f>J19-K19</f>
        <v>375934.92301294336</v>
      </c>
      <c r="M19" s="12">
        <f>N18</f>
        <v>25476810.406440686</v>
      </c>
      <c r="N19" s="10">
        <f>(M19-L19)*(1+参数!$C$37)</f>
        <v>26064806.834004983</v>
      </c>
    </row>
    <row r="20" spans="1:14">
      <c r="A20" s="11">
        <v>16</v>
      </c>
      <c r="B20" s="11">
        <v>56</v>
      </c>
      <c r="C20" s="11">
        <f>C19*(1+参数!$C$34)</f>
        <v>1.3727857050906125</v>
      </c>
      <c r="D20" s="10">
        <f>参数!$C$20*12*C20*IF(B20&gt;=参数!$C$8,参数!$C$23,1)</f>
        <v>207565.1986097006</v>
      </c>
      <c r="E20" s="10">
        <f>参数!$C$21*12*(1+参数!$C$35)^A20</f>
        <v>26194.495060583242</v>
      </c>
      <c r="F20" s="10">
        <f>参数!$C$22*(1+参数!$C$34)^A20*(1+参数!$C$38)^A20</f>
        <v>26435.016725540114</v>
      </c>
      <c r="G20" s="10">
        <f>IF(A20&lt;参数!$C$26,参数!$C$27,0)</f>
        <v>0.0</v>
      </c>
      <c r="H20" s="10">
        <f>IF(参数!$C$28+A20&lt;=参数!$C$30,参数!$C$29*(1+参数!$C$36)^A20,0)</f>
        <v>43657.49176763874</v>
      </c>
      <c r="I20" s="10">
        <f>IF(AND(B20&gt;=参数!$D$46,B20&lt;=参数!$F$46,MOD(B20-参数!$D$46,参数!$E$46)=0),参数!$C$46*C20,0)+IF(AND(B20&gt;=参数!$D$47,B20&lt;=参数!$F$47,MOD(B20-参数!$D$47,参数!$E$47)=0),参数!$C$47*C20,0)+IF(AND(B20&gt;=参数!$D$48,B20&lt;=参数!$F$48,MOD(B20-参数!$D$48,参数!$E$48)=0),参数!$C$48*C20,0)</f>
        <v>247101.42691631024</v>
      </c>
      <c r="J20" s="10">
        <f>SUM(D20:I20)</f>
        <v>550953.6290797729</v>
      </c>
      <c r="K20" s="10">
        <f>IF(B20&gt;=参数!$C$32,参数!$C$31*12*C20,0)</f>
        <v>0.0</v>
      </c>
      <c r="L20" s="10">
        <f>J20-K20</f>
        <v>550953.6290797729</v>
      </c>
      <c r="M20" s="12">
        <f>N19</f>
        <v>26064806.834004983</v>
      </c>
      <c r="N20" s="10">
        <f>(M20-L20)*(1+参数!$C$37)</f>
        <v>26493643.84985671</v>
      </c>
    </row>
    <row r="21" spans="1:14">
      <c r="A21" s="11">
        <v>17</v>
      </c>
      <c r="B21" s="11">
        <v>57</v>
      </c>
      <c r="C21" s="11">
        <f>C20*(1+参数!$C$34)</f>
        <v>1.4002414191924248</v>
      </c>
      <c r="D21" s="10">
        <f>参数!$C$20*12*C21*IF(B21&gt;=参数!$C$8,参数!$C$23,1)</f>
        <v>211716.50258189463</v>
      </c>
      <c r="E21" s="10">
        <f>参数!$C$21*12*(1+参数!$C$35)^A21</f>
        <v>27504.21981361241</v>
      </c>
      <c r="F21" s="10">
        <f>参数!$C$22*(1+参数!$C$34)^A21*(1+参数!$C$38)^A21</f>
        <v>27772.62857185244</v>
      </c>
      <c r="G21" s="10">
        <f>IF(A21&lt;参数!$C$26,参数!$C$27,0)</f>
        <v>0.0</v>
      </c>
      <c r="H21" s="10">
        <f>IF(参数!$C$28+A21&lt;=参数!$C$30,参数!$C$29*(1+参数!$C$36)^A21,0)</f>
        <v>0.0</v>
      </c>
      <c r="I21" s="10">
        <f>IF(AND(B21&gt;=参数!$D$46,B21&lt;=参数!$F$46,MOD(B21-参数!$D$46,参数!$E$46)=0),参数!$C$46*C21,0)+IF(AND(B21&gt;=参数!$D$47,B21&lt;=参数!$F$47,MOD(B21-参数!$D$47,参数!$E$47)=0),参数!$C$47*C21,0)+IF(AND(B21&gt;=参数!$D$48,B21&lt;=参数!$F$48,MOD(B21-参数!$D$48,参数!$E$48)=0),参数!$C$48*C21,0)</f>
        <v>0.0</v>
      </c>
      <c r="J21" s="10">
        <f>SUM(D21:I21)</f>
        <v>266993.3509673595</v>
      </c>
      <c r="K21" s="10">
        <f>IF(B21&gt;=参数!$C$32,参数!$C$31*12*C21,0)</f>
        <v>0.0</v>
      </c>
      <c r="L21" s="10">
        <f>J21-K21</f>
        <v>266993.3509673595</v>
      </c>
      <c r="M21" s="12">
        <f>N20</f>
        <v>26493643.84985671</v>
      </c>
      <c r="N21" s="10">
        <f>(M21-L21)*(1+参数!$C$37)</f>
        <v>27233814.199342847</v>
      </c>
    </row>
    <row r="22" spans="1:14">
      <c r="A22" s="11">
        <v>18</v>
      </c>
      <c r="B22" s="11">
        <v>58</v>
      </c>
      <c r="C22" s="11">
        <f>C21*(1+参数!$C$34)</f>
        <v>1.4282462475762734</v>
      </c>
      <c r="D22" s="10">
        <f>参数!$C$20*12*C22*IF(B22&gt;=参数!$C$8,参数!$C$23,1)</f>
        <v>215950.83263353253</v>
      </c>
      <c r="E22" s="10">
        <f>参数!$C$21*12*(1+参数!$C$35)^A22</f>
        <v>28879.430804293028</v>
      </c>
      <c r="F22" s="10">
        <f>参数!$C$22*(1+参数!$C$34)^A22*(1+参数!$C$38)^A22</f>
        <v>29177.923577588183</v>
      </c>
      <c r="G22" s="10">
        <f>IF(A22&lt;参数!$C$26,参数!$C$27,0)</f>
        <v>0.0</v>
      </c>
      <c r="H22" s="10">
        <f>IF(参数!$C$28+A22&lt;=参数!$C$30,参数!$C$29*(1+参数!$C$36)^A22,0)</f>
        <v>0.0</v>
      </c>
      <c r="I22" s="10">
        <f>IF(AND(B22&gt;=参数!$D$46,B22&lt;=参数!$F$46,MOD(B22-参数!$D$46,参数!$E$46)=0),参数!$C$46*C22,0)+IF(AND(B22&gt;=参数!$D$47,B22&lt;=参数!$F$47,MOD(B22-参数!$D$47,参数!$E$47)=0),参数!$C$47*C22,0)+IF(AND(B22&gt;=参数!$D$48,B22&lt;=参数!$F$48,MOD(B22-参数!$D$48,参数!$E$48)=0),参数!$C$48*C22,0)</f>
        <v>0.0</v>
      </c>
      <c r="J22" s="10">
        <f>SUM(D22:I22)</f>
        <v>274008.1870154137</v>
      </c>
      <c r="K22" s="10">
        <f>IF(B22&gt;=参数!$C$32,参数!$C$31*12*C22,0)</f>
        <v>0.0</v>
      </c>
      <c r="L22" s="10">
        <f>J22-K22</f>
        <v>274008.1870154137</v>
      </c>
      <c r="M22" s="12">
        <f>N21</f>
        <v>27233814.199342847</v>
      </c>
      <c r="N22" s="10">
        <f>(M22-L22)*(1+参数!$C$37)</f>
        <v>27995124.570754636</v>
      </c>
    </row>
    <row r="23" spans="1:14">
      <c r="A23" s="11">
        <v>19</v>
      </c>
      <c r="B23" s="11">
        <v>59</v>
      </c>
      <c r="C23" s="11">
        <f>C22*(1+参数!$C$34)</f>
        <v>1.4568111725277988</v>
      </c>
      <c r="D23" s="10">
        <f>参数!$C$20*12*C23*IF(B23&gt;=参数!$C$8,参数!$C$23,1)</f>
        <v>220269.84928620319</v>
      </c>
      <c r="E23" s="10">
        <f>参数!$C$21*12*(1+参数!$C$35)^A23</f>
        <v>30323.402344507685</v>
      </c>
      <c r="F23" s="10">
        <f>参数!$C$22*(1+参数!$C$34)^A23*(1+参数!$C$38)^A23</f>
        <v>30654.32651061414</v>
      </c>
      <c r="G23" s="10">
        <f>IF(A23&lt;参数!$C$26,参数!$C$27,0)</f>
        <v>0.0</v>
      </c>
      <c r="H23" s="10">
        <f>IF(参数!$C$28+A23&lt;=参数!$C$30,参数!$C$29*(1+参数!$C$36)^A23,0)</f>
        <v>0.0</v>
      </c>
      <c r="I23" s="10">
        <f>IF(AND(B23&gt;=参数!$D$46,B23&lt;=参数!$F$46,MOD(B23-参数!$D$46,参数!$E$46)=0),参数!$C$46*C23,0)+IF(AND(B23&gt;=参数!$D$47,B23&lt;=参数!$F$47,MOD(B23-参数!$D$47,参数!$E$47)=0),参数!$C$47*C23,0)+IF(AND(B23&gt;=参数!$D$48,B23&lt;=参数!$F$48,MOD(B23-参数!$D$48,参数!$E$48)=0),参数!$C$48*C23,0)</f>
        <v>0.0</v>
      </c>
      <c r="J23" s="10">
        <f>SUM(D23:I23)</f>
        <v>281247.57814132504</v>
      </c>
      <c r="K23" s="10">
        <f>IF(B23&gt;=参数!$C$32,参数!$C$31*12*C23,0)</f>
        <v>0.0</v>
      </c>
      <c r="L23" s="10">
        <f>J23-K23</f>
        <v>281247.57814132504</v>
      </c>
      <c r="M23" s="12">
        <f>N22</f>
        <v>27995124.570754636</v>
      </c>
      <c r="N23" s="10">
        <f>(M23-L23)*(1+参数!$C$37)</f>
        <v>28778153.611046746</v>
      </c>
    </row>
    <row r="24" spans="1:14">
      <c r="A24" s="11">
        <v>20</v>
      </c>
      <c r="B24" s="11">
        <v>60</v>
      </c>
      <c r="C24" s="11">
        <f>C23*(1+参数!$C$34)</f>
        <v>1.485947395978355</v>
      </c>
      <c r="D24" s="10">
        <f>参数!$C$20*12*C24*IF(B24&gt;=参数!$C$8,参数!$C$23,1)</f>
        <v>224675.2462719273</v>
      </c>
      <c r="E24" s="10">
        <f>参数!$C$21*12*(1+参数!$C$35)^A24</f>
        <v>31839.572461733067</v>
      </c>
      <c r="F24" s="10">
        <f>参数!$C$22*(1+参数!$C$34)^A24*(1+参数!$C$38)^A24</f>
        <v>32205.435432051218</v>
      </c>
      <c r="G24" s="10">
        <f>IF(A24&lt;参数!$C$26,参数!$C$27,0)</f>
        <v>0.0</v>
      </c>
      <c r="H24" s="10">
        <f>IF(参数!$C$28+A24&lt;=参数!$C$30,参数!$C$29*(1+参数!$C$36)^A24,0)</f>
        <v>0.0</v>
      </c>
      <c r="I24" s="10">
        <f>IF(AND(B24&gt;=参数!$D$46,B24&lt;=参数!$F$46,MOD(B24-参数!$D$46,参数!$E$46)=0),参数!$C$46*C24,0)+IF(AND(B24&gt;=参数!$D$47,B24&lt;=参数!$F$47,MOD(B24-参数!$D$47,参数!$E$47)=0),参数!$C$47*C24,0)+IF(AND(B24&gt;=参数!$D$48,B24&lt;=参数!$F$48,MOD(B24-参数!$D$48,参数!$E$48)=0),参数!$C$48*C24,0)</f>
        <v>89156.84375870129</v>
      </c>
      <c r="J24" s="10">
        <f>SUM(D24:I24)</f>
        <v>377877.09792441287</v>
      </c>
      <c r="K24" s="10">
        <f>IF(B24&gt;=参数!$C$32,参数!$C$31*12*C24,0)</f>
        <v>0.0</v>
      </c>
      <c r="L24" s="10">
        <f>J24-K24</f>
        <v>377877.09792441287</v>
      </c>
      <c r="M24" s="12">
        <f>N23</f>
        <v>28778153.611046746</v>
      </c>
      <c r="N24" s="10">
        <f>(M24-L24)*(1+参数!$C$37)</f>
        <v>29490912.451862212</v>
      </c>
    </row>
    <row r="25" spans="1:14">
      <c r="A25" s="11">
        <v>21</v>
      </c>
      <c r="B25" s="11">
        <v>61</v>
      </c>
      <c r="C25" s="11">
        <f>C24*(1+参数!$C$34)</f>
        <v>1.5156663438979219</v>
      </c>
      <c r="D25" s="10">
        <f>参数!$C$20*12*C25*IF(B25&gt;=参数!$C$8,参数!$C$23,1)</f>
        <v>229168.75119736578</v>
      </c>
      <c r="E25" s="10">
        <f>参数!$C$21*12*(1+参数!$C$35)^A25</f>
        <v>33431.55108481972</v>
      </c>
      <c r="F25" s="10">
        <f>参数!$C$22*(1+参数!$C$34)^A25*(1+参数!$C$38)^A25</f>
        <v>33835.030464913005</v>
      </c>
      <c r="G25" s="10">
        <f>IF(A25&lt;参数!$C$26,参数!$C$27,0)</f>
        <v>0.0</v>
      </c>
      <c r="H25" s="10">
        <f>IF(参数!$C$28+A25&lt;=参数!$C$30,参数!$C$29*(1+参数!$C$36)^A25,0)</f>
        <v>0.0</v>
      </c>
      <c r="I25" s="10">
        <f>IF(AND(B25&gt;=参数!$D$46,B25&lt;=参数!$F$46,MOD(B25-参数!$D$46,参数!$E$46)=0),参数!$C$46*C25,0)+IF(AND(B25&gt;=参数!$D$47,B25&lt;=参数!$F$47,MOD(B25-参数!$D$47,参数!$E$47)=0),参数!$C$47*C25,0)+IF(AND(B25&gt;=参数!$D$48,B25&lt;=参数!$F$48,MOD(B25-参数!$D$48,参数!$E$48)=0),参数!$C$48*C25,0)</f>
        <v>0.0</v>
      </c>
      <c r="J25" s="10">
        <f>SUM(D25:I25)</f>
        <v>296435.3327470985</v>
      </c>
      <c r="K25" s="10">
        <f>IF(B25&gt;=参数!$C$32,参数!$C$31*12*C25,0)</f>
        <v>0.0</v>
      </c>
      <c r="L25" s="10">
        <f>J25-K25</f>
        <v>296435.3327470985</v>
      </c>
      <c r="M25" s="12">
        <f>N24</f>
        <v>29490912.451862212</v>
      </c>
      <c r="N25" s="10">
        <f>(M25-L25)*(1+参数!$C$37)</f>
        <v>30315612.18778651</v>
      </c>
    </row>
    <row r="26" spans="1:14">
      <c r="A26" s="11">
        <v>22</v>
      </c>
      <c r="B26" s="11">
        <v>62</v>
      </c>
      <c r="C26" s="11">
        <f>C25*(1+参数!$C$34)</f>
        <v>1.5459796707758804</v>
      </c>
      <c r="D26" s="10">
        <f>参数!$C$20*12*C26*IF(B26&gt;=参数!$C$8,参数!$C$23,1)</f>
        <v>233752.1262213131</v>
      </c>
      <c r="E26" s="10">
        <f>参数!$C$21*12*(1+参数!$C$35)^A26</f>
        <v>35103.12863906071</v>
      </c>
      <c r="F26" s="10">
        <f>参数!$C$22*(1+参数!$C$34)^A26*(1+参数!$C$38)^A26</f>
        <v>35547.083006437606</v>
      </c>
      <c r="G26" s="10">
        <f>IF(A26&lt;参数!$C$26,参数!$C$27,0)</f>
        <v>0.0</v>
      </c>
      <c r="H26" s="10">
        <f>IF(参数!$C$28+A26&lt;=参数!$C$30,参数!$C$29*(1+参数!$C$36)^A26,0)</f>
        <v>0.0</v>
      </c>
      <c r="I26" s="10">
        <f>IF(AND(B26&gt;=参数!$D$46,B26&lt;=参数!$F$46,MOD(B26-参数!$D$46,参数!$E$46)=0),参数!$C$46*C26,0)+IF(AND(B26&gt;=参数!$D$47,B26&lt;=参数!$F$47,MOD(B26-参数!$D$47,参数!$E$47)=0),参数!$C$47*C26,0)+IF(AND(B26&gt;=参数!$D$48,B26&lt;=参数!$F$48,MOD(B26-参数!$D$48,参数!$E$48)=0),参数!$C$48*C26,0)</f>
        <v>0.0</v>
      </c>
      <c r="J26" s="10">
        <f>SUM(D26:I26)</f>
        <v>304402.33786681143</v>
      </c>
      <c r="K26" s="10">
        <f>IF(B26&gt;=参数!$C$32,参数!$C$31*12*C26,0)</f>
        <v>0.0</v>
      </c>
      <c r="L26" s="10">
        <f>J26-K26</f>
        <v>304402.33786681143</v>
      </c>
      <c r="M26" s="12">
        <f>N25</f>
        <v>30315612.18778651</v>
      </c>
      <c r="N26" s="10">
        <f>(M26-L26)*(1+参数!$C$37)</f>
        <v>31163709.333939265</v>
      </c>
    </row>
    <row r="27" spans="1:14">
      <c r="A27" s="11">
        <v>23</v>
      </c>
      <c r="B27" s="11">
        <v>63</v>
      </c>
      <c r="C27" s="11">
        <f>C26*(1+参数!$C$34)</f>
        <v>1.5768992641913981</v>
      </c>
      <c r="D27" s="10">
        <f>参数!$C$20*12*C27*IF(B27&gt;=参数!$C$8,参数!$C$23,1)</f>
        <v>238427.16874573941</v>
      </c>
      <c r="E27" s="10">
        <f>参数!$C$21*12*(1+参数!$C$35)^A27</f>
        <v>36858.28507101375</v>
      </c>
      <c r="F27" s="10">
        <f>参数!$C$22*(1+参数!$C$34)^A27*(1+参数!$C$38)^A27</f>
        <v>37345.76540656336</v>
      </c>
      <c r="G27" s="10">
        <f>IF(A27&lt;参数!$C$26,参数!$C$27,0)</f>
        <v>0.0</v>
      </c>
      <c r="H27" s="10">
        <f>IF(参数!$C$28+A27&lt;=参数!$C$30,参数!$C$29*(1+参数!$C$36)^A27,0)</f>
        <v>0.0</v>
      </c>
      <c r="I27" s="10">
        <f>IF(AND(B27&gt;=参数!$D$46,B27&lt;=参数!$F$46,MOD(B27-参数!$D$46,参数!$E$46)=0),参数!$C$46*C27,0)+IF(AND(B27&gt;=参数!$D$47,B27&lt;=参数!$F$47,MOD(B27-参数!$D$47,参数!$E$47)=0),参数!$C$47*C27,0)+IF(AND(B27&gt;=参数!$D$48,B27&lt;=参数!$F$48,MOD(B27-参数!$D$48,参数!$E$48)=0),参数!$C$48*C27,0)</f>
        <v>0.0</v>
      </c>
      <c r="J27" s="10">
        <f>SUM(D27:I27)</f>
        <v>312631.2192233165</v>
      </c>
      <c r="K27" s="10">
        <f>IF(B27&gt;=参数!$C$32,参数!$C$31*12*C27,0)</f>
        <v>181996.87895716482</v>
      </c>
      <c r="L27" s="10">
        <f>J27-K27</f>
        <v>130634.3402661517</v>
      </c>
      <c r="M27" s="12">
        <f>N26</f>
        <v>31163709.333939265</v>
      </c>
      <c r="N27" s="10">
        <f>(M27-L27)*(1+参数!$C$37)</f>
        <v>32224816.449502647</v>
      </c>
    </row>
    <row r="28" spans="1:14">
      <c r="A28" s="11">
        <v>24</v>
      </c>
      <c r="B28" s="11">
        <v>64</v>
      </c>
      <c r="C28" s="11">
        <f>C27*(1+参数!$C$34)</f>
        <v>1.6084372494752261</v>
      </c>
      <c r="D28" s="10">
        <f>参数!$C$20*12*C28*IF(B28&gt;=参数!$C$8,参数!$C$23,1)</f>
        <v>243195.71212065424</v>
      </c>
      <c r="E28" s="10">
        <f>参数!$C$21*12*(1+参数!$C$35)^A28</f>
        <v>38701.19932456443</v>
      </c>
      <c r="F28" s="10">
        <f>参数!$C$22*(1+参数!$C$34)^A28*(1+参数!$C$38)^A28</f>
        <v>39235.46113613546</v>
      </c>
      <c r="G28" s="10">
        <f>IF(A28&lt;参数!$C$26,参数!$C$27,0)</f>
        <v>0.0</v>
      </c>
      <c r="H28" s="10">
        <f>IF(参数!$C$28+A28&lt;=参数!$C$30,参数!$C$29*(1+参数!$C$36)^A28,0)</f>
        <v>0.0</v>
      </c>
      <c r="I28" s="10">
        <f>IF(AND(B28&gt;=参数!$D$46,B28&lt;=参数!$F$46,MOD(B28-参数!$D$46,参数!$E$46)=0),参数!$C$46*C28,0)+IF(AND(B28&gt;=参数!$D$47,B28&lt;=参数!$F$47,MOD(B28-参数!$D$47,参数!$E$47)=0),参数!$C$47*C28,0)+IF(AND(B28&gt;=参数!$D$48,B28&lt;=参数!$F$48,MOD(B28-参数!$D$48,参数!$E$48)=0),参数!$C$48*C28,0)</f>
        <v>289518.7049055407</v>
      </c>
      <c r="J28" s="10">
        <f>SUM(D28:I28)</f>
        <v>610651.0774868948</v>
      </c>
      <c r="K28" s="10">
        <f>IF(B28&gt;=参数!$C$32,参数!$C$31*12*C28,0)</f>
        <v>185636.81653630812</v>
      </c>
      <c r="L28" s="10">
        <f>J28-K28</f>
        <v>425014.26095058664</v>
      </c>
      <c r="M28" s="12">
        <f>N27</f>
        <v>32224816.449502647</v>
      </c>
      <c r="N28" s="10">
        <f>(M28-L28)*(1+参数!$C$37)</f>
        <v>33020987.732137494</v>
      </c>
    </row>
    <row r="29" spans="1:14">
      <c r="A29" s="11">
        <v>25</v>
      </c>
      <c r="B29" s="11">
        <v>65</v>
      </c>
      <c r="C29" s="11">
        <f>C28*(1+参数!$C$34)</f>
        <v>1.6406059944647307</v>
      </c>
      <c r="D29" s="10">
        <f>参数!$C$20*12*C29*IF(B29&gt;=参数!$C$8,参数!$C$23,1)</f>
        <v>248059.6263630673</v>
      </c>
      <c r="E29" s="10">
        <f>参数!$C$21*12*(1+参数!$C$35)^A29</f>
        <v>40636.25929079266</v>
      </c>
      <c r="F29" s="10">
        <f>参数!$C$22*(1+参数!$C$34)^A29*(1+参数!$C$38)^A29</f>
        <v>41220.77546962392</v>
      </c>
      <c r="G29" s="10">
        <f>IF(A29&lt;参数!$C$26,参数!$C$27,0)</f>
        <v>0.0</v>
      </c>
      <c r="H29" s="10">
        <f>IF(参数!$C$28+A29&lt;=参数!$C$30,参数!$C$29*(1+参数!$C$36)^A29,0)</f>
        <v>0.0</v>
      </c>
      <c r="I29" s="10">
        <f>IF(AND(B29&gt;=参数!$D$46,B29&lt;=参数!$F$46,MOD(B29-参数!$D$46,参数!$E$46)=0),参数!$C$46*C29,0)+IF(AND(B29&gt;=参数!$D$47,B29&lt;=参数!$F$47,MOD(B29-参数!$D$47,参数!$E$47)=0),参数!$C$47*C29,0)+IF(AND(B29&gt;=参数!$D$48,B29&lt;=参数!$F$48,MOD(B29-参数!$D$48,参数!$E$48)=0),参数!$C$48*C29,0)</f>
        <v>426557.55856082996</v>
      </c>
      <c r="J29" s="10">
        <f>SUM(D29:I29)</f>
        <v>756474.2196843137</v>
      </c>
      <c r="K29" s="10">
        <f>IF(B29&gt;=参数!$C$32,参数!$C$31*12*C29,0)</f>
        <v>189349.55286703428</v>
      </c>
      <c r="L29" s="10">
        <f>J29-K29</f>
        <v>567124.6668172795</v>
      </c>
      <c r="M29" s="12">
        <f>N28</f>
        <v>33020987.732137494</v>
      </c>
      <c r="N29" s="10">
        <f>(M29-L29)*(1+参数!$C$37)</f>
        <v>33700166.050913565</v>
      </c>
    </row>
    <row r="30" spans="1:14">
      <c r="A30" s="11">
        <v>26</v>
      </c>
      <c r="B30" s="11">
        <v>66</v>
      </c>
      <c r="C30" s="11">
        <f>C29*(1+参数!$C$34)</f>
        <v>1.6734181143540252</v>
      </c>
      <c r="D30" s="10">
        <f>参数!$C$20*12*C30*IF(B30&gt;=参数!$C$8,参数!$C$23,1)</f>
        <v>253020.81889032864</v>
      </c>
      <c r="E30" s="10">
        <f>参数!$C$21*12*(1+参数!$C$35)^A30</f>
        <v>42668.07225533229</v>
      </c>
      <c r="F30" s="10">
        <f>参数!$C$22*(1+参数!$C$34)^A30*(1+参数!$C$38)^A30</f>
        <v>43306.54670838689</v>
      </c>
      <c r="G30" s="10">
        <f>IF(A30&lt;参数!$C$26,参数!$C$27,0)</f>
        <v>0.0</v>
      </c>
      <c r="H30" s="10">
        <f>IF(参数!$C$28+A30&lt;=参数!$C$30,参数!$C$29*(1+参数!$C$36)^A30,0)</f>
        <v>0.0</v>
      </c>
      <c r="I30" s="10">
        <f>IF(AND(B30&gt;=参数!$D$46,B30&lt;=参数!$F$46,MOD(B30-参数!$D$46,参数!$E$46)=0),参数!$C$46*C30,0)+IF(AND(B30&gt;=参数!$D$47,B30&lt;=参数!$F$47,MOD(B30-参数!$D$47,参数!$E$47)=0),参数!$C$47*C30,0)+IF(AND(B30&gt;=参数!$D$48,B30&lt;=参数!$F$48,MOD(B30-参数!$D$48,参数!$E$48)=0),参数!$C$48*C30,0)</f>
        <v>0.0</v>
      </c>
      <c r="J30" s="10">
        <f>SUM(D30:I30)</f>
        <v>338995.43785404786</v>
      </c>
      <c r="K30" s="10">
        <f>IF(B30&gt;=参数!$C$32,参数!$C$31*12*C30,0)</f>
        <v>193136.54392437497</v>
      </c>
      <c r="L30" s="10">
        <f>J30-K30</f>
        <v>145858.8939296729</v>
      </c>
      <c r="M30" s="12">
        <f>N29</f>
        <v>33700166.050913565</v>
      </c>
      <c r="N30" s="10">
        <f>(M30-L30)*(1+参数!$C$37)</f>
        <v>34842869.72671854</v>
      </c>
    </row>
    <row r="31" spans="1:14">
      <c r="A31" s="11">
        <v>27</v>
      </c>
      <c r="B31" s="11">
        <v>67</v>
      </c>
      <c r="C31" s="11">
        <f>C30*(1+参数!$C$34)</f>
        <v>1.7068864766411058</v>
      </c>
      <c r="D31" s="10">
        <f>参数!$C$20*12*C31*IF(B31&gt;=参数!$C$8,参数!$C$23,1)</f>
        <v>258081.2352681352</v>
      </c>
      <c r="E31" s="10">
        <f>参数!$C$21*12*(1+参数!$C$35)^A31</f>
        <v>44801.47586809891</v>
      </c>
      <c r="F31" s="10">
        <f>参数!$C$22*(1+参数!$C$34)^A31*(1+参数!$C$38)^A31</f>
        <v>45497.857971831276</v>
      </c>
      <c r="G31" s="10">
        <f>IF(A31&lt;参数!$C$26,参数!$C$27,0)</f>
        <v>0.0</v>
      </c>
      <c r="H31" s="10">
        <f>IF(参数!$C$28+A31&lt;=参数!$C$30,参数!$C$29*(1+参数!$C$36)^A31,0)</f>
        <v>0.0</v>
      </c>
      <c r="I31" s="10">
        <f>IF(AND(B31&gt;=参数!$D$46,B31&lt;=参数!$F$46,MOD(B31-参数!$D$46,参数!$E$46)=0),参数!$C$46*C31,0)+IF(AND(B31&gt;=参数!$D$47,B31&lt;=参数!$F$47,MOD(B31-参数!$D$47,参数!$E$47)=0),参数!$C$47*C31,0)+IF(AND(B31&gt;=参数!$D$48,B31&lt;=参数!$F$48,MOD(B31-参数!$D$48,参数!$E$48)=0),参数!$C$48*C31,0)</f>
        <v>0.0</v>
      </c>
      <c r="J31" s="10">
        <f>SUM(D31:I31)</f>
        <v>348380.5691080654</v>
      </c>
      <c r="K31" s="10">
        <f>IF(B31&gt;=参数!$C$32,参数!$C$31*12*C31,0)</f>
        <v>196999.27480286246</v>
      </c>
      <c r="L31" s="10">
        <f>J31-K31</f>
        <v>151381.29430520293</v>
      </c>
      <c r="M31" s="12">
        <f>N30</f>
        <v>34842869.72671854</v>
      </c>
      <c r="N31" s="10">
        <f>(M31-L31)*(1+参数!$C$37)</f>
        <v>36023721.3786414</v>
      </c>
    </row>
    <row r="32" spans="1:14">
      <c r="A32" s="11">
        <v>28</v>
      </c>
      <c r="B32" s="11">
        <v>68</v>
      </c>
      <c r="C32" s="11">
        <f>C31*(1+参数!$C$34)</f>
        <v>1.741024206173928</v>
      </c>
      <c r="D32" s="10">
        <f>参数!$C$20*12*C32*IF(B32&gt;=参数!$C$8,参数!$C$23,1)</f>
        <v>263242.8599734979</v>
      </c>
      <c r="E32" s="10">
        <f>参数!$C$21*12*(1+参数!$C$35)^A32</f>
        <v>47041.54966150386</v>
      </c>
      <c r="F32" s="10">
        <f>参数!$C$22*(1+参数!$C$34)^A32*(1+参数!$C$38)^A32</f>
        <v>47800.04958520595</v>
      </c>
      <c r="G32" s="10">
        <f>IF(A32&lt;参数!$C$26,参数!$C$27,0)</f>
        <v>0.0</v>
      </c>
      <c r="H32" s="10">
        <f>IF(参数!$C$28+A32&lt;=参数!$C$30,参数!$C$29*(1+参数!$C$36)^A32,0)</f>
        <v>0.0</v>
      </c>
      <c r="I32" s="10">
        <f>IF(AND(B32&gt;=参数!$D$46,B32&lt;=参数!$F$46,MOD(B32-参数!$D$46,参数!$E$46)=0),参数!$C$46*C32,0)+IF(AND(B32&gt;=参数!$D$47,B32&lt;=参数!$F$47,MOD(B32-参数!$D$47,参数!$E$47)=0),参数!$C$47*C32,0)+IF(AND(B32&gt;=参数!$D$48,B32&lt;=参数!$F$48,MOD(B32-参数!$D$48,参数!$E$48)=0),参数!$C$48*C32,0)</f>
        <v>0.0</v>
      </c>
      <c r="J32" s="10">
        <f>SUM(D32:I32)</f>
        <v>358084.45922020776</v>
      </c>
      <c r="K32" s="10">
        <f>IF(B32&gt;=参数!$C$32,参数!$C$31*12*C32,0)</f>
        <v>200939.26029891972</v>
      </c>
      <c r="L32" s="10">
        <f>J32-K32</f>
        <v>157145.19892128804</v>
      </c>
      <c r="M32" s="12">
        <f>N31</f>
        <v>36023721.3786414</v>
      </c>
      <c r="N32" s="10">
        <f>(M32-L32)*(1+参数!$C$37)</f>
        <v>37243935.198146574</v>
      </c>
    </row>
    <row r="33" spans="1:14">
      <c r="A33" s="11">
        <v>29</v>
      </c>
      <c r="B33" s="11">
        <v>69</v>
      </c>
      <c r="C33" s="11">
        <f>C32*(1+参数!$C$34)</f>
        <v>1.7758446902974065</v>
      </c>
      <c r="D33" s="10">
        <f>参数!$C$20*12*C33*IF(B33&gt;=参数!$C$8,参数!$C$23,1)</f>
        <v>268507.7171729679</v>
      </c>
      <c r="E33" s="10">
        <f>参数!$C$21*12*(1+参数!$C$35)^A33</f>
        <v>49393.62714457906</v>
      </c>
      <c r="F33" s="10">
        <f>参数!$C$22*(1+参数!$C$34)^A33*(1+参数!$C$38)^A33</f>
        <v>50218.73209421736</v>
      </c>
      <c r="G33" s="10">
        <f>IF(A33&lt;参数!$C$26,参数!$C$27,0)</f>
        <v>0.0</v>
      </c>
      <c r="H33" s="10">
        <f>IF(参数!$C$28+A33&lt;=参数!$C$30,参数!$C$29*(1+参数!$C$36)^A33,0)</f>
        <v>0.0</v>
      </c>
      <c r="I33" s="10">
        <f>IF(AND(B33&gt;=参数!$D$46,B33&lt;=参数!$F$46,MOD(B33-参数!$D$46,参数!$E$46)=0),参数!$C$46*C33,0)+IF(AND(B33&gt;=参数!$D$47,B33&lt;=参数!$F$47,MOD(B33-参数!$D$47,参数!$E$47)=0),参数!$C$47*C33,0)+IF(AND(B33&gt;=参数!$D$48,B33&lt;=参数!$F$48,MOD(B33-参数!$D$48,参数!$E$48)=0),参数!$C$48*C33,0)</f>
        <v>0.0</v>
      </c>
      <c r="J33" s="10">
        <f>SUM(D33:I33)</f>
        <v>368120.07641176437</v>
      </c>
      <c r="K33" s="10">
        <f>IF(B33&gt;=参数!$C$32,参数!$C$31*12*C33,0)</f>
        <v>204958.04550489812</v>
      </c>
      <c r="L33" s="10">
        <f>J33-K33</f>
        <v>163162.03090686625</v>
      </c>
      <c r="M33" s="12">
        <f>N32</f>
        <v>37243935.198146574</v>
      </c>
      <c r="N33" s="10">
        <f>(M33-L33)*(1+参数!$C$37)</f>
        <v>38504760.14264</v>
      </c>
    </row>
    <row r="34" spans="1:14">
      <c r="A34" s="11">
        <v>30</v>
      </c>
      <c r="B34" s="11">
        <v>70</v>
      </c>
      <c r="C34" s="11">
        <f>C33*(1+参数!$C$34)</f>
        <v>1.8113615841033548</v>
      </c>
      <c r="D34" s="10">
        <f>参数!$C$20*12*C34*IF(B34&gt;=参数!$C$8,参数!$C$23,1)</f>
        <v>273877.87151642726</v>
      </c>
      <c r="E34" s="10">
        <f>参数!$C$21*12*(1+参数!$C$35)^A34</f>
        <v>51863.30850180802</v>
      </c>
      <c r="F34" s="10">
        <f>参数!$C$22*(1+参数!$C$34)^A34*(1+参数!$C$38)^A34</f>
        <v>52759.79993818476</v>
      </c>
      <c r="G34" s="10">
        <f>IF(A34&lt;参数!$C$26,参数!$C$27,0)</f>
        <v>0.0</v>
      </c>
      <c r="H34" s="10">
        <f>IF(参数!$C$28+A34&lt;=参数!$C$30,参数!$C$29*(1+参数!$C$36)^A34,0)</f>
        <v>0.0</v>
      </c>
      <c r="I34" s="10">
        <f>IF(AND(B34&gt;=参数!$D$46,B34&lt;=参数!$F$46,MOD(B34-参数!$D$46,参数!$E$46)=0),参数!$C$46*C34,0)+IF(AND(B34&gt;=参数!$D$47,B34&lt;=参数!$F$47,MOD(B34-参数!$D$47,参数!$E$47)=0),参数!$C$47*C34,0)+IF(AND(B34&gt;=参数!$D$48,B34&lt;=参数!$F$48,MOD(B34-参数!$D$48,参数!$E$48)=0),参数!$C$48*C34,0)</f>
        <v>108681.69504620129</v>
      </c>
      <c r="J34" s="10">
        <f>SUM(D34:I34)</f>
        <v>487182.6750026213</v>
      </c>
      <c r="K34" s="10">
        <f>IF(B34&gt;=参数!$C$32,参数!$C$31*12*C34,0)</f>
        <v>209057.2064149961</v>
      </c>
      <c r="L34" s="10">
        <f>J34-K34</f>
        <v>278125.4685876252</v>
      </c>
      <c r="M34" s="12">
        <f>N33</f>
        <v>38504760.14264</v>
      </c>
      <c r="N34" s="10">
        <f>(M34-L34)*(1+参数!$C$37)</f>
        <v>39694625.36679574</v>
      </c>
    </row>
    <row r="35" spans="1:14">
      <c r="A35" s="11">
        <v>31</v>
      </c>
      <c r="B35" s="11">
        <v>71</v>
      </c>
      <c r="C35" s="11">
        <f>C34*(1+参数!$C$34)</f>
        <v>1.847588815785422</v>
      </c>
      <c r="D35" s="10">
        <f>参数!$C$20*12*C35*IF(B35&gt;=参数!$C$8,参数!$C$23,1)</f>
        <v>279355.4289467558</v>
      </c>
      <c r="E35" s="10">
        <f>参数!$C$21*12*(1+参数!$C$35)^A35</f>
        <v>54456.47392689841</v>
      </c>
      <c r="F35" s="10">
        <f>参数!$C$22*(1+参数!$C$34)^A35*(1+参数!$C$38)^A35</f>
        <v>55429.445815056904</v>
      </c>
      <c r="G35" s="10">
        <f>IF(A35&lt;参数!$C$26,参数!$C$27,0)</f>
        <v>0.0</v>
      </c>
      <c r="H35" s="10">
        <f>IF(参数!$C$28+A35&lt;=参数!$C$30,参数!$C$29*(1+参数!$C$36)^A35,0)</f>
        <v>0.0</v>
      </c>
      <c r="I35" s="10">
        <f>IF(AND(B35&gt;=参数!$D$46,B35&lt;=参数!$F$46,MOD(B35-参数!$D$46,参数!$E$46)=0),参数!$C$46*C35,0)+IF(AND(B35&gt;=参数!$D$47,B35&lt;=参数!$F$47,MOD(B35-参数!$D$47,参数!$E$47)=0),参数!$C$47*C35,0)+IF(AND(B35&gt;=参数!$D$48,B35&lt;=参数!$F$48,MOD(B35-参数!$D$48,参数!$E$48)=0),参数!$C$48*C35,0)</f>
        <v>0.0</v>
      </c>
      <c r="J35" s="10">
        <f>SUM(D35:I35)</f>
        <v>389241.3486887112</v>
      </c>
      <c r="K35" s="10">
        <f>IF(B35&gt;=参数!$C$32,参数!$C$31*12*C35,0)</f>
        <v>213238.35054329602</v>
      </c>
      <c r="L35" s="10">
        <f>J35-K35</f>
        <v>176002.99814541516</v>
      </c>
      <c r="M35" s="12">
        <f>N34</f>
        <v>39694625.36679574</v>
      </c>
      <c r="N35" s="10">
        <f>(M35-L35)*(1+参数!$C$37)</f>
        <v>41036228.360437945</v>
      </c>
    </row>
    <row r="36" spans="1:14">
      <c r="A36" s="11">
        <v>32</v>
      </c>
      <c r="B36" s="11">
        <v>72</v>
      </c>
      <c r="C36" s="11">
        <f>C35*(1+参数!$C$34)</f>
        <v>1.8845405921011302</v>
      </c>
      <c r="D36" s="10">
        <f>参数!$C$20*12*C36*IF(B36&gt;=参数!$C$8,参数!$C$23,1)</f>
        <v>284942.5375256909</v>
      </c>
      <c r="E36" s="10">
        <f>参数!$C$21*12*(1+参数!$C$35)^A36</f>
        <v>57179.297623243336</v>
      </c>
      <c r="F36" s="10">
        <f>参数!$C$22*(1+参数!$C$34)^A36*(1+参数!$C$38)^A36</f>
        <v>58234.1757732988</v>
      </c>
      <c r="G36" s="10">
        <f>IF(A36&lt;参数!$C$26,参数!$C$27,0)</f>
        <v>0.0</v>
      </c>
      <c r="H36" s="10">
        <f>IF(参数!$C$28+A36&lt;=参数!$C$30,参数!$C$29*(1+参数!$C$36)^A36,0)</f>
        <v>0.0</v>
      </c>
      <c r="I36" s="10">
        <f>IF(AND(B36&gt;=参数!$D$46,B36&lt;=参数!$F$46,MOD(B36-参数!$D$46,参数!$E$46)=0),参数!$C$46*C36,0)+IF(AND(B36&gt;=参数!$D$47,B36&lt;=参数!$F$47,MOD(B36-参数!$D$47,参数!$E$47)=0),参数!$C$47*C36,0)+IF(AND(B36&gt;=参数!$D$48,B36&lt;=参数!$F$48,MOD(B36-参数!$D$48,参数!$E$48)=0),参数!$C$48*C36,0)</f>
        <v>339217.30657820345</v>
      </c>
      <c r="J36" s="10">
        <f>SUM(D36:I36)</f>
        <v>739573.3175004364</v>
      </c>
      <c r="K36" s="10">
        <f>IF(B36&gt;=参数!$C$32,参数!$C$31*12*C36,0)</f>
        <v>217503.11755416193</v>
      </c>
      <c r="L36" s="10">
        <f>J36-K36</f>
        <v>522070.1999462745</v>
      </c>
      <c r="M36" s="12">
        <f>N35</f>
        <v>41036228.360437945</v>
      </c>
      <c r="N36" s="10">
        <f>(M36-L36)*(1+参数!$C$37)</f>
        <v>42069995.016418315</v>
      </c>
    </row>
    <row r="37" spans="1:14">
      <c r="A37" s="11">
        <v>33</v>
      </c>
      <c r="B37" s="11">
        <v>73</v>
      </c>
      <c r="C37" s="11">
        <f>C36*(1+参数!$C$34)</f>
        <v>1.922231403943153</v>
      </c>
      <c r="D37" s="10">
        <f>参数!$C$20*12*C37*IF(B37&gt;=参数!$C$8,参数!$C$23,1)</f>
        <v>290641.38827620476</v>
      </c>
      <c r="E37" s="10">
        <f>参数!$C$21*12*(1+参数!$C$35)^A37</f>
        <v>60038.2625044055</v>
      </c>
      <c r="F37" s="10">
        <f>参数!$C$22*(1+参数!$C$34)^A37*(1+参数!$C$38)^A37</f>
        <v>61180.825067427715</v>
      </c>
      <c r="G37" s="10">
        <f>IF(A37&lt;参数!$C$26,参数!$C$27,0)</f>
        <v>0.0</v>
      </c>
      <c r="H37" s="10">
        <f>IF(参数!$C$28+A37&lt;=参数!$C$30,参数!$C$29*(1+参数!$C$36)^A37,0)</f>
        <v>0.0</v>
      </c>
      <c r="I37" s="10">
        <f>IF(AND(B37&gt;=参数!$D$46,B37&lt;=参数!$F$46,MOD(B37-参数!$D$46,参数!$E$46)=0),参数!$C$46*C37,0)+IF(AND(B37&gt;=参数!$D$47,B37&lt;=参数!$F$47,MOD(B37-参数!$D$47,参数!$E$47)=0),参数!$C$47*C37,0)+IF(AND(B37&gt;=参数!$D$48,B37&lt;=参数!$F$48,MOD(B37-参数!$D$48,参数!$E$48)=0),参数!$C$48*C37,0)</f>
        <v>0.0</v>
      </c>
      <c r="J37" s="10">
        <f>SUM(D37:I37)</f>
        <v>411860.475848038</v>
      </c>
      <c r="K37" s="10">
        <f>IF(B37&gt;=参数!$C$32,参数!$C$31*12*C37,0)</f>
        <v>221853.17990524517</v>
      </c>
      <c r="L37" s="10">
        <f>J37-K37</f>
        <v>190007.2959427928</v>
      </c>
      <c r="M37" s="12">
        <f>N36</f>
        <v>42069995.016418315</v>
      </c>
      <c r="N37" s="10">
        <f>(M37-L37)*(1+参数!$C$37)</f>
        <v>43488275.57291354</v>
      </c>
    </row>
    <row r="38" spans="1:14">
      <c r="A38" s="11">
        <v>34</v>
      </c>
      <c r="B38" s="11">
        <v>74</v>
      </c>
      <c r="C38" s="11">
        <f>C37*(1+参数!$C$34)</f>
        <v>1.960676032022016</v>
      </c>
      <c r="D38" s="10">
        <f>参数!$C$20*12*C38*IF(B38&gt;=参数!$C$8,参数!$C$23,1)</f>
        <v>296454.2160417288</v>
      </c>
      <c r="E38" s="10">
        <f>参数!$C$21*12*(1+参数!$C$35)^A38</f>
        <v>63040.17562962578</v>
      </c>
      <c r="F38" s="10">
        <f>参数!$C$22*(1+参数!$C$34)^A38*(1+参数!$C$38)^A38</f>
        <v>64276.57481583956</v>
      </c>
      <c r="G38" s="10">
        <f>IF(A38&lt;参数!$C$26,参数!$C$27,0)</f>
        <v>0.0</v>
      </c>
      <c r="H38" s="10">
        <f>IF(参数!$C$28+A38&lt;=参数!$C$30,参数!$C$29*(1+参数!$C$36)^A38,0)</f>
        <v>0.0</v>
      </c>
      <c r="I38" s="10">
        <f>IF(AND(B38&gt;=参数!$D$46,B38&lt;=参数!$F$46,MOD(B38-参数!$D$46,参数!$E$46)=0),参数!$C$46*C38,0)+IF(AND(B38&gt;=参数!$D$47,B38&lt;=参数!$F$47,MOD(B38-参数!$D$47,参数!$E$47)=0),参数!$C$47*C38,0)+IF(AND(B38&gt;=参数!$D$48,B38&lt;=参数!$F$48,MOD(B38-参数!$D$48,参数!$E$48)=0),参数!$C$48*C38,0)</f>
        <v>0.0</v>
      </c>
      <c r="J38" s="10">
        <f>SUM(D38:I38)</f>
        <v>423770.9664871942</v>
      </c>
      <c r="K38" s="10">
        <f>IF(B38&gt;=参数!$C$32,参数!$C$31*12*C38,0)</f>
        <v>226290.2435033501</v>
      </c>
      <c r="L38" s="10">
        <f>J38-K38</f>
        <v>197480.72298384408</v>
      </c>
      <c r="M38" s="12">
        <f>N37</f>
        <v>43488275.57291354</v>
      </c>
      <c r="N38" s="10">
        <f>(M38-L38)*(1+参数!$C$37)</f>
        <v>44953260.94099516</v>
      </c>
    </row>
    <row r="39" spans="1:14">
      <c r="A39" s="11">
        <v>35</v>
      </c>
      <c r="B39" s="11">
        <v>75</v>
      </c>
      <c r="C39" s="11">
        <f>C38*(1+参数!$C$34)</f>
        <v>1.9998895526624565</v>
      </c>
      <c r="D39" s="10">
        <f>参数!$C$20*12*C39*IF(B39&gt;=参数!$C$8,参数!$C$23,1)</f>
        <v>302383.3003625634</v>
      </c>
      <c r="E39" s="10">
        <f>参数!$C$21*12*(1+参数!$C$35)^A39</f>
        <v>66192.18441110708</v>
      </c>
      <c r="F39" s="10">
        <f>参数!$C$22*(1+参数!$C$34)^A39*(1+参数!$C$38)^A39</f>
        <v>67528.96950152105</v>
      </c>
      <c r="G39" s="10">
        <f>IF(A39&lt;参数!$C$26,参数!$C$27,0)</f>
        <v>0.0</v>
      </c>
      <c r="H39" s="10">
        <f>IF(参数!$C$28+A39&lt;=参数!$C$30,参数!$C$29*(1+参数!$C$36)^A39,0)</f>
        <v>0.0</v>
      </c>
      <c r="I39" s="10">
        <f>IF(AND(B39&gt;=参数!$D$46,B39&lt;=参数!$F$46,MOD(B39-参数!$D$46,参数!$E$46)=0),参数!$C$46*C39,0)+IF(AND(B39&gt;=参数!$D$47,B39&lt;=参数!$F$47,MOD(B39-参数!$D$47,参数!$E$47)=0),参数!$C$47*C39,0)+IF(AND(B39&gt;=参数!$D$48,B39&lt;=参数!$F$48,MOD(B39-参数!$D$48,参数!$E$48)=0),参数!$C$48*C39,0)</f>
        <v>119993.3731597474</v>
      </c>
      <c r="J39" s="10">
        <f>SUM(D39:I39)</f>
        <v>556097.8274349389</v>
      </c>
      <c r="K39" s="10">
        <f>IF(B39&gt;=参数!$C$32,参数!$C$31*12*C39,0)</f>
        <v>230816.0483734171</v>
      </c>
      <c r="L39" s="10">
        <f>J39-K39</f>
        <v>325281.77906152175</v>
      </c>
      <c r="M39" s="12">
        <f>N38</f>
        <v>44953260.94099516</v>
      </c>
      <c r="N39" s="10">
        <f>(M39-L39)*(1+参数!$C$37)</f>
        <v>46341796.206103966</v>
      </c>
    </row>
    <row r="40" spans="1:14">
      <c r="A40" s="11">
        <v>36</v>
      </c>
      <c r="B40" s="11">
        <v>76</v>
      </c>
      <c r="C40" s="11">
        <f>C39*(1+参数!$C$34)</f>
        <v>2.0398873437157055</v>
      </c>
      <c r="D40" s="10">
        <f>参数!$C$20*12*C40*IF(B40&gt;=参数!$C$8,参数!$C$23,1)</f>
        <v>308430.9663698147</v>
      </c>
      <c r="E40" s="10">
        <f>参数!$C$21*12*(1+参数!$C$35)^A40</f>
        <v>69501.79363166243</v>
      </c>
      <c r="F40" s="10">
        <f>参数!$C$22*(1+参数!$C$34)^A40*(1+参数!$C$38)^A40</f>
        <v>70945.93535829801</v>
      </c>
      <c r="G40" s="10">
        <f>IF(A40&lt;参数!$C$26,参数!$C$27,0)</f>
        <v>0.0</v>
      </c>
      <c r="H40" s="10">
        <f>IF(参数!$C$28+A40&lt;=参数!$C$30,参数!$C$29*(1+参数!$C$36)^A40,0)</f>
        <v>0.0</v>
      </c>
      <c r="I40" s="10">
        <f>IF(AND(B40&gt;=参数!$D$46,B40&lt;=参数!$F$46,MOD(B40-参数!$D$46,参数!$E$46)=0),参数!$C$46*C40,0)+IF(AND(B40&gt;=参数!$D$47,B40&lt;=参数!$F$47,MOD(B40-参数!$D$47,参数!$E$47)=0),参数!$C$47*C40,0)+IF(AND(B40&gt;=参数!$D$48,B40&lt;=参数!$F$48,MOD(B40-参数!$D$48,参数!$E$48)=0),参数!$C$48*C40,0)</f>
        <v>0.0</v>
      </c>
      <c r="J40" s="10">
        <f>SUM(D40:I40)</f>
        <v>448878.69535977516</v>
      </c>
      <c r="K40" s="10">
        <f>IF(B40&gt;=参数!$C$32,参数!$C$31*12*C40,0)</f>
        <v>235432.36934088543</v>
      </c>
      <c r="L40" s="10">
        <f>J40-K40</f>
        <v>213446.32601888973</v>
      </c>
      <c r="M40" s="12">
        <f>N39</f>
        <v>46341796.206103966</v>
      </c>
      <c r="N40" s="10">
        <f>(M40-L40)*(1+参数!$C$37)</f>
        <v>47899784.610685065</v>
      </c>
    </row>
    <row r="41" spans="1:14">
      <c r="A41" s="11">
        <v>37</v>
      </c>
      <c r="B41" s="11">
        <v>77</v>
      </c>
      <c r="C41" s="11">
        <f>C40*(1+参数!$C$34)</f>
        <v>2.08068509059002</v>
      </c>
      <c r="D41" s="10">
        <f>参数!$C$20*12*C41*IF(B41&gt;=参数!$C$8,参数!$C$23,1)</f>
        <v>314599.58569721103</v>
      </c>
      <c r="E41" s="10">
        <f>参数!$C$21*12*(1+参数!$C$35)^A41</f>
        <v>72976.88331324556</v>
      </c>
      <c r="F41" s="10">
        <f>参数!$C$22*(1+参数!$C$34)^A41*(1+参数!$C$38)^A41</f>
        <v>74535.79968742789</v>
      </c>
      <c r="G41" s="10">
        <f>IF(A41&lt;参数!$C$26,参数!$C$27,0)</f>
        <v>0.0</v>
      </c>
      <c r="H41" s="10">
        <f>IF(参数!$C$28+A41&lt;=参数!$C$30,参数!$C$29*(1+参数!$C$36)^A41,0)</f>
        <v>0.0</v>
      </c>
      <c r="I41" s="10">
        <f>IF(AND(B41&gt;=参数!$D$46,B41&lt;=参数!$F$46,MOD(B41-参数!$D$46,参数!$E$46)=0),参数!$C$46*C41,0)+IF(AND(B41&gt;=参数!$D$47,B41&lt;=参数!$F$47,MOD(B41-参数!$D$47,参数!$E$47)=0),参数!$C$47*C41,0)+IF(AND(B41&gt;=参数!$D$48,B41&lt;=参数!$F$48,MOD(B41-参数!$D$48,参数!$E$48)=0),参数!$C$48*C41,0)</f>
        <v>0.0</v>
      </c>
      <c r="J41" s="10">
        <f>SUM(D41:I41)</f>
        <v>462112.26869788446</v>
      </c>
      <c r="K41" s="10">
        <f>IF(B41&gt;=参数!$C$32,参数!$C$31*12*C41,0)</f>
        <v>240141.01672770316</v>
      </c>
      <c r="L41" s="10">
        <f>J41-K41</f>
        <v>221971.2519701813</v>
      </c>
      <c r="M41" s="12">
        <f>N40</f>
        <v>47899784.610685065</v>
      </c>
      <c r="N41" s="10">
        <f>(M41-L41)*(1+参数!$C$37)</f>
        <v>49508751.05066026</v>
      </c>
    </row>
    <row r="42" spans="1:14">
      <c r="A42" s="11">
        <v>38</v>
      </c>
      <c r="B42" s="11">
        <v>78</v>
      </c>
      <c r="C42" s="11">
        <f>C41*(1+参数!$C$34)</f>
        <v>2.12229879240182</v>
      </c>
      <c r="D42" s="10">
        <f>参数!$C$20*12*C42*IF(B42&gt;=参数!$C$8,参数!$C$23,1)</f>
        <v>320891.5774111552</v>
      </c>
      <c r="E42" s="10">
        <f>参数!$C$21*12*(1+参数!$C$35)^A42</f>
        <v>76625.72747890784</v>
      </c>
      <c r="F42" s="10">
        <f>参数!$C$22*(1+参数!$C$34)^A42*(1+参数!$C$38)^A42</f>
        <v>78307.31115161175</v>
      </c>
      <c r="G42" s="10">
        <f>IF(A42&lt;参数!$C$26,参数!$C$27,0)</f>
        <v>0.0</v>
      </c>
      <c r="H42" s="10">
        <f>IF(参数!$C$28+A42&lt;=参数!$C$30,参数!$C$29*(1+参数!$C$36)^A42,0)</f>
        <v>0.0</v>
      </c>
      <c r="I42" s="10">
        <f>IF(AND(B42&gt;=参数!$D$46,B42&lt;=参数!$F$46,MOD(B42-参数!$D$46,参数!$E$46)=0),参数!$C$46*C42,0)+IF(AND(B42&gt;=参数!$D$47,B42&lt;=参数!$F$47,MOD(B42-参数!$D$47,参数!$E$47)=0),参数!$C$47*C42,0)+IF(AND(B42&gt;=参数!$D$48,B42&lt;=参数!$F$48,MOD(B42-参数!$D$48,参数!$E$48)=0),参数!$C$48*C42,0)</f>
        <v>0.0</v>
      </c>
      <c r="J42" s="10">
        <f>SUM(D42:I42)</f>
        <v>475824.6160416748</v>
      </c>
      <c r="K42" s="10">
        <f>IF(B42&gt;=参数!$C$32,参数!$C$31*12*C42,0)</f>
        <v>244943.8370622572</v>
      </c>
      <c r="L42" s="10">
        <f>J42-K42</f>
        <v>230880.7789794176</v>
      </c>
      <c r="M42" s="12">
        <f>N41</f>
        <v>49508751.05066026</v>
      </c>
      <c r="N42" s="10">
        <f>(M42-L42)*(1+参数!$C$37)</f>
        <v>51170253.829215005</v>
      </c>
    </row>
    <row r="43" spans="1:14">
      <c r="A43" s="11">
        <v>39</v>
      </c>
      <c r="B43" s="11">
        <v>79</v>
      </c>
      <c r="C43" s="11">
        <f>C42*(1+参数!$C$34)</f>
        <v>2.1647447682498564</v>
      </c>
      <c r="D43" s="10">
        <f>参数!$C$20*12*C43*IF(B43&gt;=参数!$C$8,参数!$C$23,1)</f>
        <v>327309.4089593783</v>
      </c>
      <c r="E43" s="10">
        <f>参数!$C$21*12*(1+参数!$C$35)^A43</f>
        <v>80457.01385285323</v>
      </c>
      <c r="F43" s="10">
        <f>参数!$C$22*(1+参数!$C$34)^A43*(1+参数!$C$38)^A43</f>
        <v>82269.66109588329</v>
      </c>
      <c r="G43" s="10">
        <f>IF(A43&lt;参数!$C$26,参数!$C$27,0)</f>
        <v>0.0</v>
      </c>
      <c r="H43" s="10">
        <f>IF(参数!$C$28+A43&lt;=参数!$C$30,参数!$C$29*(1+参数!$C$36)^A43,0)</f>
        <v>0.0</v>
      </c>
      <c r="I43" s="10">
        <f>IF(AND(B43&gt;=参数!$D$46,B43&lt;=参数!$F$46,MOD(B43-参数!$D$46,参数!$E$46)=0),参数!$C$46*C43,0)+IF(AND(B43&gt;=参数!$D$47,B43&lt;=参数!$F$47,MOD(B43-参数!$D$47,参数!$E$47)=0),参数!$C$47*C43,0)+IF(AND(B43&gt;=参数!$D$48,B43&lt;=参数!$F$48,MOD(B43-参数!$D$48,参数!$E$48)=0),参数!$C$48*C43,0)</f>
        <v>0.0</v>
      </c>
      <c r="J43" s="10">
        <f>SUM(D43:I43)</f>
        <v>490036.0839081148</v>
      </c>
      <c r="K43" s="10">
        <f>IF(B43&gt;=参数!$C$32,参数!$C$31*12*C43,0)</f>
        <v>249842.71380350235</v>
      </c>
      <c r="L43" s="10">
        <f>J43-K43</f>
        <v>240193.37010461246</v>
      </c>
      <c r="M43" s="12">
        <f>N42</f>
        <v>51170253.829215005</v>
      </c>
      <c r="N43" s="10">
        <f>(M43-L43)*(1+参数!$C$37)</f>
        <v>52885891.91987929</v>
      </c>
    </row>
    <row r="44" spans="1:14">
      <c r="A44" s="11">
        <v>40</v>
      </c>
      <c r="B44" s="11">
        <v>80</v>
      </c>
      <c r="C44" s="11">
        <f>C43*(1+参数!$C$34)</f>
        <v>2.2080396636148536</v>
      </c>
      <c r="D44" s="10">
        <f>参数!$C$20*12*C44*IF(B44&gt;=参数!$C$8,参数!$C$23,1)</f>
        <v>333855.59713856585</v>
      </c>
      <c r="E44" s="10">
        <f>参数!$C$21*12*(1+参数!$C$35)^A44</f>
        <v>84479.86454549589</v>
      </c>
      <c r="F44" s="10">
        <f>参数!$C$22*(1+参数!$C$34)^A44*(1+参数!$C$38)^A44</f>
        <v>86432.505947335</v>
      </c>
      <c r="G44" s="10">
        <f>IF(A44&lt;参数!$C$26,参数!$C$27,0)</f>
        <v>0.0</v>
      </c>
      <c r="H44" s="10">
        <f>IF(参数!$C$28+A44&lt;=参数!$C$30,参数!$C$29*(1+参数!$C$36)^A44,0)</f>
        <v>0.0</v>
      </c>
      <c r="I44" s="10">
        <f>IF(AND(B44&gt;=参数!$D$46,B44&lt;=参数!$F$46,MOD(B44-参数!$D$46,参数!$E$46)=0),参数!$C$46*C44,0)+IF(AND(B44&gt;=参数!$D$47,B44&lt;=参数!$F$47,MOD(B44-参数!$D$47,参数!$E$47)=0),参数!$C$47*C44,0)+IF(AND(B44&gt;=参数!$D$48,B44&lt;=参数!$F$48,MOD(B44-参数!$D$48,参数!$E$48)=0),参数!$C$48*C44,0)</f>
        <v>971537.4519905355</v>
      </c>
      <c r="J44" s="10">
        <f>SUM(D44:I44)</f>
        <v>1476305.4196219323</v>
      </c>
      <c r="K44" s="10">
        <f>IF(B44&gt;=参数!$C$32,参数!$C$31*12*C44,0)</f>
        <v>254839.5680795724</v>
      </c>
      <c r="L44" s="10">
        <f>J44-K44</f>
        <v>1221465.85154236</v>
      </c>
      <c r="M44" s="12">
        <f>N43</f>
        <v>52885891.91987929</v>
      </c>
      <c r="N44" s="10">
        <f>(M44-L44)*(1+参数!$C$37)</f>
        <v>53648458.857541025</v>
      </c>
    </row>
    <row r="45" spans="1:14">
      <c r="A45" s="11">
        <v>41</v>
      </c>
      <c r="B45" s="11">
        <v>81</v>
      </c>
      <c r="C45" s="11">
        <f>C44*(1+参数!$C$34)</f>
        <v>2.252200456887151</v>
      </c>
      <c r="D45" s="10">
        <f>参数!$C$20*12*C45*IF(B45&gt;=参数!$C$8,参数!$C$23,1)</f>
        <v>340532.70908133726</v>
      </c>
      <c r="E45" s="10">
        <f>参数!$C$21*12*(1+参数!$C$35)^A45</f>
        <v>88703.85777277069</v>
      </c>
      <c r="F45" s="10">
        <f>参数!$C$22*(1+参数!$C$34)^A45*(1+参数!$C$38)^A45</f>
        <v>90805.99074827017</v>
      </c>
      <c r="G45" s="10">
        <f>IF(A45&lt;参数!$C$26,参数!$C$27,0)</f>
        <v>0.0</v>
      </c>
      <c r="H45" s="10">
        <f>IF(参数!$C$28+A45&lt;=参数!$C$30,参数!$C$29*(1+参数!$C$36)^A45,0)</f>
        <v>0.0</v>
      </c>
      <c r="I45" s="10">
        <f>IF(AND(B45&gt;=参数!$D$46,B45&lt;=参数!$F$46,MOD(B45-参数!$D$46,参数!$E$46)=0),参数!$C$46*C45,0)+IF(AND(B45&gt;=参数!$D$47,B45&lt;=参数!$F$47,MOD(B45-参数!$D$47,参数!$E$47)=0),参数!$C$47*C45,0)+IF(AND(B45&gt;=参数!$D$48,B45&lt;=参数!$F$48,MOD(B45-参数!$D$48,参数!$E$48)=0),参数!$C$48*C45,0)</f>
        <v>0.0</v>
      </c>
      <c r="J45" s="10">
        <f>SUM(D45:I45)</f>
        <v>520042.55760237813</v>
      </c>
      <c r="K45" s="10">
        <f>IF(B45&gt;=参数!$C$32,参数!$C$31*12*C45,0)</f>
        <v>259936.3594411639</v>
      </c>
      <c r="L45" s="10">
        <f>J45-K45</f>
        <v>260106.19816121424</v>
      </c>
      <c r="M45" s="12">
        <f>N44</f>
        <v>53648458.857541025</v>
      </c>
      <c r="N45" s="10">
        <f>(M45-L45)*(1+参数!$C$37)</f>
        <v>55438588.19471111</v>
      </c>
    </row>
    <row r="46" spans="1:14">
      <c r="A46" s="11">
        <v>42</v>
      </c>
      <c r="B46" s="11">
        <v>82</v>
      </c>
      <c r="C46" s="11">
        <f>C45*(1+参数!$C$34)</f>
        <v>2.297244466024894</v>
      </c>
      <c r="D46" s="10">
        <f>参数!$C$20*12*C46*IF(B46&gt;=参数!$C$8,参数!$C$23,1)</f>
        <v>347343.36326296395</v>
      </c>
      <c r="E46" s="10">
        <f>参数!$C$21*12*(1+参数!$C$35)^A46</f>
        <v>93139.05066140923</v>
      </c>
      <c r="F46" s="10">
        <f>参数!$C$22*(1+参数!$C$34)^A46*(1+参数!$C$38)^A46</f>
        <v>95400.77388013263</v>
      </c>
      <c r="G46" s="10">
        <f>IF(A46&lt;参数!$C$26,参数!$C$27,0)</f>
        <v>0.0</v>
      </c>
      <c r="H46" s="10">
        <f>IF(参数!$C$28+A46&lt;=参数!$C$30,参数!$C$29*(1+参数!$C$36)^A46,0)</f>
        <v>0.0</v>
      </c>
      <c r="I46" s="10">
        <f>IF(AND(B46&gt;=参数!$D$46,B46&lt;=参数!$F$46,MOD(B46-参数!$D$46,参数!$E$46)=0),参数!$C$46*C46,0)+IF(AND(B46&gt;=参数!$D$47,B46&lt;=参数!$F$47,MOD(B46-参数!$D$47,参数!$E$47)=0),参数!$C$47*C46,0)+IF(AND(B46&gt;=参数!$D$48,B46&lt;=参数!$F$48,MOD(B46-参数!$D$48,参数!$E$48)=0),参数!$C$48*C46,0)</f>
        <v>0.0</v>
      </c>
      <c r="J46" s="10">
        <f>SUM(D46:I46)</f>
        <v>535883.1878045058</v>
      </c>
      <c r="K46" s="10">
        <f>IF(B46&gt;=参数!$C$32,参数!$C$31*12*C46,0)</f>
        <v>265135.08662998717</v>
      </c>
      <c r="L46" s="10">
        <f>J46-K46</f>
        <v>270748.10117451864</v>
      </c>
      <c r="M46" s="12">
        <f>N45</f>
        <v>55438588.19471111</v>
      </c>
      <c r="N46" s="10">
        <f>(M46-L46)*(1+参数!$C$37)</f>
        <v>57286412.03916062</v>
      </c>
    </row>
    <row r="47" spans="1:14">
      <c r="A47" s="11">
        <v>43</v>
      </c>
      <c r="B47" s="11">
        <v>83</v>
      </c>
      <c r="C47" s="11">
        <f>C46*(1+参数!$C$34)</f>
        <v>2.343189355345392</v>
      </c>
      <c r="D47" s="10">
        <f>参数!$C$20*12*C47*IF(B47&gt;=参数!$C$8,参数!$C$23,1)</f>
        <v>354290.23052822327</v>
      </c>
      <c r="E47" s="10">
        <f>参数!$C$21*12*(1+参数!$C$35)^A47</f>
        <v>97796.00319447971</v>
      </c>
      <c r="F47" s="10">
        <f>参数!$C$22*(1+参数!$C$34)^A47*(1+参数!$C$38)^A47</f>
        <v>100228.05303846736</v>
      </c>
      <c r="G47" s="10">
        <f>IF(A47&lt;参数!$C$26,参数!$C$27,0)</f>
        <v>0.0</v>
      </c>
      <c r="H47" s="10">
        <f>IF(参数!$C$28+A47&lt;=参数!$C$30,参数!$C$29*(1+参数!$C$36)^A47,0)</f>
        <v>0.0</v>
      </c>
      <c r="I47" s="10">
        <f>IF(AND(B47&gt;=参数!$D$46,B47&lt;=参数!$F$46,MOD(B47-参数!$D$46,参数!$E$46)=0),参数!$C$46*C47,0)+IF(AND(B47&gt;=参数!$D$47,B47&lt;=参数!$F$47,MOD(B47-参数!$D$47,参数!$E$47)=0),参数!$C$47*C47,0)+IF(AND(B47&gt;=参数!$D$48,B47&lt;=参数!$F$48,MOD(B47-参数!$D$48,参数!$E$48)=0),参数!$C$48*C47,0)</f>
        <v>0.0</v>
      </c>
      <c r="J47" s="10">
        <f>SUM(D47:I47)</f>
        <v>552314.2867611703</v>
      </c>
      <c r="K47" s="10">
        <f>IF(B47&gt;=参数!$C$32,参数!$C$31*12*C47,0)</f>
        <v>270437.7883625869</v>
      </c>
      <c r="L47" s="10">
        <f>J47-K47</f>
        <v>281876.4983985833</v>
      </c>
      <c r="M47" s="12">
        <f>N46</f>
        <v>57286412.03916062</v>
      </c>
      <c r="N47" s="10">
        <f>(M47-L47)*(1+参数!$C$37)</f>
        <v>59193640.815959044</v>
      </c>
    </row>
    <row r="48" spans="1:14">
      <c r="A48" s="11">
        <v>44</v>
      </c>
      <c r="B48" s="11">
        <v>84</v>
      </c>
      <c r="C48" s="11">
        <f>C47*(1+参数!$C$34)</f>
        <v>2.3900531424522997</v>
      </c>
      <c r="D48" s="10">
        <f>参数!$C$20*12*C48*IF(B48&gt;=参数!$C$8,参数!$C$23,1)</f>
        <v>361376.0351387877</v>
      </c>
      <c r="E48" s="10">
        <f>参数!$C$21*12*(1+参数!$C$35)^A48</f>
        <v>102685.8033542037</v>
      </c>
      <c r="F48" s="10">
        <f>参数!$C$22*(1+参数!$C$34)^A48*(1+参数!$C$38)^A48</f>
        <v>105299.5925222138</v>
      </c>
      <c r="G48" s="10">
        <f>IF(A48&lt;参数!$C$26,参数!$C$27,0)</f>
        <v>0.0</v>
      </c>
      <c r="H48" s="10">
        <f>IF(参数!$C$28+A48&lt;=参数!$C$30,参数!$C$29*(1+参数!$C$36)^A48,0)</f>
        <v>0.0</v>
      </c>
      <c r="I48" s="10">
        <f>IF(AND(B48&gt;=参数!$D$46,B48&lt;=参数!$F$46,MOD(B48-参数!$D$46,参数!$E$46)=0),参数!$C$46*C48,0)+IF(AND(B48&gt;=参数!$D$47,B48&lt;=参数!$F$47,MOD(B48-参数!$D$47,参数!$E$47)=0),参数!$C$47*C48,0)+IF(AND(B48&gt;=参数!$D$48,B48&lt;=参数!$F$48,MOD(B48-参数!$D$48,参数!$E$48)=0),参数!$C$48*C48,0)</f>
        <v>0.0</v>
      </c>
      <c r="J48" s="10">
        <f>SUM(D48:I48)</f>
        <v>569361.4310152052</v>
      </c>
      <c r="K48" s="10">
        <f>IF(B48&gt;=参数!$C$32,参数!$C$31*12*C48,0)</f>
        <v>275846.54412983864</v>
      </c>
      <c r="L48" s="10">
        <f>J48-K48</f>
        <v>293514.8868853666</v>
      </c>
      <c r="M48" s="12">
        <f>N47</f>
        <v>59193640.815959044</v>
      </c>
      <c r="N48" s="10">
        <f>(M48-L48)*(1+参数!$C$37)</f>
        <v>61162026.23503974</v>
      </c>
    </row>
    <row r="49" spans="1:14">
      <c r="A49" s="11">
        <v>45</v>
      </c>
      <c r="B49" s="11">
        <v>85</v>
      </c>
      <c r="C49" s="11">
        <f>C48*(1+参数!$C$34)</f>
        <v>2.437854205301346</v>
      </c>
      <c r="D49" s="10">
        <f>参数!$C$20*12*C49*IF(B49&gt;=参数!$C$8,参数!$C$23,1)</f>
        <v>368603.5558415635</v>
      </c>
      <c r="E49" s="10">
        <f>参数!$C$21*12*(1+参数!$C$35)^A49</f>
        <v>107820.09352191388</v>
      </c>
      <c r="F49" s="10">
        <f>参数!$C$22*(1+参数!$C$34)^A49*(1+参数!$C$38)^A49</f>
        <v>110627.75190383782</v>
      </c>
      <c r="G49" s="10">
        <f>IF(A49&lt;参数!$C$26,参数!$C$27,0)</f>
        <v>0.0</v>
      </c>
      <c r="H49" s="10">
        <f>IF(参数!$C$28+A49&lt;=参数!$C$30,参数!$C$29*(1+参数!$C$36)^A49,0)</f>
        <v>0.0</v>
      </c>
      <c r="I49" s="10">
        <f>IF(AND(B49&gt;=参数!$D$46,B49&lt;=参数!$F$46,MOD(B49-参数!$D$46,参数!$E$46)=0),参数!$C$46*C49,0)+IF(AND(B49&gt;=参数!$D$47,B49&lt;=参数!$F$47,MOD(B49-参数!$D$47,参数!$E$47)=0),参数!$C$47*C49,0)+IF(AND(B49&gt;=参数!$D$48,B49&lt;=参数!$F$48,MOD(B49-参数!$D$48,参数!$E$48)=0),参数!$C$48*C49,0)</f>
        <v>0.0</v>
      </c>
      <c r="J49" s="10">
        <f>SUM(D49:I49)</f>
        <v>587051.4012673151</v>
      </c>
      <c r="K49" s="10">
        <f>IF(B49&gt;=参数!$C$32,参数!$C$31*12*C49,0)</f>
        <v>281363.47501243546</v>
      </c>
      <c r="L49" s="10">
        <f>J49-K49</f>
        <v>305687.9262548797</v>
      </c>
      <c r="M49" s="12">
        <f>N48</f>
        <v>61162026.23503974</v>
      </c>
      <c r="N49" s="10">
        <f>(M49-L49)*(1+参数!$C$37)</f>
        <v>63193361.66942031</v>
      </c>
    </row>
    <row r="50" spans="1:14">
      <c r="A50" s="11">
        <v>46</v>
      </c>
      <c r="B50" s="11">
        <v>86</v>
      </c>
      <c r="C50" s="11">
        <f>C49*(1+参数!$C$34)</f>
        <v>2.4866112894073726</v>
      </c>
      <c r="D50" s="10">
        <f>参数!$C$20*12*C50*IF(B50&gt;=参数!$C$8,参数!$C$23,1)</f>
        <v>375975.6269583948</v>
      </c>
      <c r="E50" s="10">
        <f>参数!$C$21*12*(1+参数!$C$35)^A50</f>
        <v>113211.09819800958</v>
      </c>
      <c r="F50" s="10">
        <f>参数!$C$22*(1+参数!$C$34)^A50*(1+参数!$C$38)^A50</f>
        <v>116225.51615017203</v>
      </c>
      <c r="G50" s="10">
        <f>IF(A50&lt;参数!$C$26,参数!$C$27,0)</f>
        <v>0.0</v>
      </c>
      <c r="H50" s="10">
        <f>IF(参数!$C$28+A50&lt;=参数!$C$30,参数!$C$29*(1+参数!$C$36)^A50,0)</f>
        <v>0.0</v>
      </c>
      <c r="I50" s="10">
        <f>IF(AND(B50&gt;=参数!$D$46,B50&lt;=参数!$F$46,MOD(B50-参数!$D$46,参数!$E$46)=0),参数!$C$46*C50,0)+IF(AND(B50&gt;=参数!$D$47,B50&lt;=参数!$F$47,MOD(B50-参数!$D$47,参数!$E$47)=0),参数!$C$47*C50,0)+IF(AND(B50&gt;=参数!$D$48,B50&lt;=参数!$F$48,MOD(B50-参数!$D$48,参数!$E$48)=0),参数!$C$48*C50,0)</f>
        <v>0.0</v>
      </c>
      <c r="J50" s="10">
        <f>SUM(D50:I50)</f>
        <v>605412.2413065764</v>
      </c>
      <c r="K50" s="10">
        <f>IF(B50&gt;=参数!$C$32,参数!$C$31*12*C50,0)</f>
        <v>286990.7445126841</v>
      </c>
      <c r="L50" s="10">
        <f>J50-K50</f>
        <v>318421.4967938923</v>
      </c>
      <c r="M50" s="12">
        <f>N49</f>
        <v>63193361.66942031</v>
      </c>
      <c r="N50" s="10">
        <f>(M50-L50)*(1+参数!$C$37)</f>
        <v>65289482.487617664</v>
      </c>
    </row>
    <row r="51" spans="1:14">
      <c r="A51" s="11">
        <v>47</v>
      </c>
      <c r="B51" s="11">
        <v>87</v>
      </c>
      <c r="C51" s="11">
        <f>C50*(1+参数!$C$34)</f>
        <v>2.53634351519552</v>
      </c>
      <c r="D51" s="10">
        <f>参数!$C$20*12*C51*IF(B51&gt;=参数!$C$8,参数!$C$23,1)</f>
        <v>383495.13949756266</v>
      </c>
      <c r="E51" s="10">
        <f>参数!$C$21*12*(1+参数!$C$35)^A51</f>
        <v>118871.65310791007</v>
      </c>
      <c r="F51" s="10">
        <f>参数!$C$22*(1+参数!$C$34)^A51*(1+参数!$C$38)^A51</f>
        <v>122106.52726737072</v>
      </c>
      <c r="G51" s="10">
        <f>IF(A51&lt;参数!$C$26,参数!$C$27,0)</f>
        <v>0.0</v>
      </c>
      <c r="H51" s="10">
        <f>IF(参数!$C$28+A51&lt;=参数!$C$30,参数!$C$29*(1+参数!$C$36)^A51,0)</f>
        <v>0.0</v>
      </c>
      <c r="I51" s="10">
        <f>IF(AND(B51&gt;=参数!$D$46,B51&lt;=参数!$F$46,MOD(B51-参数!$D$46,参数!$E$46)=0),参数!$C$46*C51,0)+IF(AND(B51&gt;=参数!$D$47,B51&lt;=参数!$F$47,MOD(B51-参数!$D$47,参数!$E$47)=0),参数!$C$47*C51,0)+IF(AND(B51&gt;=参数!$D$48,B51&lt;=参数!$F$48,MOD(B51-参数!$D$48,参数!$E$48)=0),参数!$C$48*C51,0)</f>
        <v>0.0</v>
      </c>
      <c r="J51" s="10">
        <f>SUM(D51:I51)</f>
        <v>624473.3198728435</v>
      </c>
      <c r="K51" s="10">
        <f>IF(B51&gt;=参数!$C$32,参数!$C$31*12*C51,0)</f>
        <v>292730.5594029378</v>
      </c>
      <c r="L51" s="10">
        <f>J51-K51</f>
        <v>331742.7604699056</v>
      </c>
      <c r="M51" s="12">
        <f>N50</f>
        <v>65289482.487617664</v>
      </c>
      <c r="N51" s="10">
        <f>(M51-L51)*(1+参数!$C$37)</f>
        <v>67452266.3354716</v>
      </c>
    </row>
    <row r="52" spans="1:14">
      <c r="A52" s="11">
        <v>48</v>
      </c>
      <c r="B52" s="11">
        <v>88</v>
      </c>
      <c r="C52" s="11">
        <f>C51*(1+参数!$C$34)</f>
        <v>2.587070385499431</v>
      </c>
      <c r="D52" s="10">
        <f>参数!$C$20*12*C52*IF(B52&gt;=参数!$C$8,参数!$C$23,1)</f>
        <v>391165.04228751396</v>
      </c>
      <c r="E52" s="10">
        <f>参数!$C$21*12*(1+参数!$C$35)^A52</f>
        <v>124815.23576330558</v>
      </c>
      <c r="F52" s="10">
        <f>参数!$C$22*(1+参数!$C$34)^A52*(1+参数!$C$38)^A52</f>
        <v>128285.1175470997</v>
      </c>
      <c r="G52" s="10">
        <f>IF(A52&lt;参数!$C$26,参数!$C$27,0)</f>
        <v>0.0</v>
      </c>
      <c r="H52" s="10">
        <f>IF(参数!$C$28+A52&lt;=参数!$C$30,参数!$C$29*(1+参数!$C$36)^A52,0)</f>
        <v>0.0</v>
      </c>
      <c r="I52" s="10">
        <f>IF(AND(B52&gt;=参数!$D$46,B52&lt;=参数!$F$46,MOD(B52-参数!$D$46,参数!$E$46)=0),参数!$C$46*C52,0)+IF(AND(B52&gt;=参数!$D$47,B52&lt;=参数!$F$47,MOD(B52-参数!$D$47,参数!$E$47)=0),参数!$C$47*C52,0)+IF(AND(B52&gt;=参数!$D$48,B52&lt;=参数!$F$48,MOD(B52-参数!$D$48,参数!$E$48)=0),参数!$C$48*C52,0)</f>
        <v>0.0</v>
      </c>
      <c r="J52" s="10">
        <f>SUM(D52:I52)</f>
        <v>644265.3955979192</v>
      </c>
      <c r="K52" s="10">
        <f>IF(B52&gt;=参数!$C$32,参数!$C$31*12*C52,0)</f>
        <v>298585.1705909966</v>
      </c>
      <c r="L52" s="10">
        <f>J52-K52</f>
        <v>345680.2250069226</v>
      </c>
      <c r="M52" s="12">
        <f>N51</f>
        <v>67452266.3354716</v>
      </c>
      <c r="N52" s="10">
        <f>(M52-L52)*(1+参数!$C$37)</f>
        <v>69683633.36225457</v>
      </c>
    </row>
    <row r="53" spans="1:14">
      <c r="A53" s="11">
        <v>49</v>
      </c>
      <c r="B53" s="11">
        <v>89</v>
      </c>
      <c r="C53" s="11">
        <f>C52*(1+参数!$C$34)</f>
        <v>2.6388117932094195</v>
      </c>
      <c r="D53" s="10">
        <f>参数!$C$20*12*C53*IF(B53&gt;=参数!$C$8,参数!$C$23,1)</f>
        <v>398988.3431332642</v>
      </c>
      <c r="E53" s="10">
        <f>参数!$C$21*12*(1+参数!$C$35)^A53</f>
        <v>131055.99755147085</v>
      </c>
      <c r="F53" s="10">
        <f>参数!$C$22*(1+参数!$C$34)^A53*(1+参数!$C$38)^A53</f>
        <v>134776.34449498294</v>
      </c>
      <c r="G53" s="10">
        <f>IF(A53&lt;参数!$C$26,参数!$C$27,0)</f>
        <v>0.0</v>
      </c>
      <c r="H53" s="10">
        <f>IF(参数!$C$28+A53&lt;=参数!$C$30,参数!$C$29*(1+参数!$C$36)^A53,0)</f>
        <v>0.0</v>
      </c>
      <c r="I53" s="10">
        <f>IF(AND(B53&gt;=参数!$D$46,B53&lt;=参数!$F$46,MOD(B53-参数!$D$46,参数!$E$46)=0),参数!$C$46*C53,0)+IF(AND(B53&gt;=参数!$D$47,B53&lt;=参数!$F$47,MOD(B53-参数!$D$47,参数!$E$47)=0),参数!$C$47*C53,0)+IF(AND(B53&gt;=参数!$D$48,B53&lt;=参数!$F$48,MOD(B53-参数!$D$48,参数!$E$48)=0),参数!$C$48*C53,0)</f>
        <v>0.0</v>
      </c>
      <c r="J53" s="10">
        <f>SUM(D53:I53)</f>
        <v>664820.6851797181</v>
      </c>
      <c r="K53" s="10">
        <f>IF(B53&gt;=参数!$C$32,参数!$C$31*12*C53,0)</f>
        <v>304556.87400281656</v>
      </c>
      <c r="L53" s="10">
        <f>J53-K53</f>
        <v>360263.8111769015</v>
      </c>
      <c r="M53" s="12">
        <f>N52</f>
        <v>69683633.36225457</v>
      </c>
      <c r="N53" s="10">
        <f>(M53-L53)*(1+参数!$C$37)</f>
        <v>71985546.38558903</v>
      </c>
    </row>
    <row r="54" spans="1:14">
      <c r="A54" s="11">
        <v>50</v>
      </c>
      <c r="B54" s="11">
        <v>90</v>
      </c>
      <c r="C54" s="11">
        <f>C53*(1+参数!$C$34)</f>
        <v>2.691588029073608</v>
      </c>
      <c r="D54" s="10">
        <f>参数!$C$20*12*C54*IF(B54&gt;=参数!$C$8,参数!$C$23,1)</f>
        <v>406968.1099959295</v>
      </c>
      <c r="E54" s="10">
        <f>参数!$C$21*12*(1+参数!$C$35)^A54</f>
        <v>137608.7974290444</v>
      </c>
      <c r="F54" s="10">
        <f>参数!$C$22*(1+参数!$C$34)^A54*(1+参数!$C$38)^A54</f>
        <v>141596.0275264291</v>
      </c>
      <c r="G54" s="10">
        <f>IF(A54&lt;参数!$C$26,参数!$C$27,0)</f>
        <v>0.0</v>
      </c>
      <c r="H54" s="10">
        <f>IF(参数!$C$28+A54&lt;=参数!$C$30,参数!$C$29*(1+参数!$C$36)^A54,0)</f>
        <v>0.0</v>
      </c>
      <c r="I54" s="10">
        <f>IF(AND(B54&gt;=参数!$D$46,B54&lt;=参数!$F$46,MOD(B54-参数!$D$46,参数!$E$46)=0),参数!$C$46*C54,0)+IF(AND(B54&gt;=参数!$D$47,B54&lt;=参数!$F$47,MOD(B54-参数!$D$47,参数!$E$47)=0),参数!$C$47*C54,0)+IF(AND(B54&gt;=参数!$D$48,B54&lt;=参数!$F$48,MOD(B54-参数!$D$48,参数!$E$48)=0),参数!$C$48*C54,0)</f>
        <v>0.0</v>
      </c>
      <c r="J54" s="10">
        <f>SUM(D54:I54)</f>
        <v>686172.934951403</v>
      </c>
      <c r="K54" s="10">
        <f>IF(B54&gt;=参数!$C$32,参数!$C$31*12*C54,0)</f>
        <v>310648.0114828729</v>
      </c>
      <c r="L54" s="10">
        <f>J54-K54</f>
        <v>375524.92346853006</v>
      </c>
      <c r="M54" s="12">
        <f>N53</f>
        <v>71985546.38558903</v>
      </c>
      <c r="N54" s="10">
        <f>(M54-L54)*(1+参数!$C$37)</f>
        <v>74360010.98931529</v>
      </c>
    </row>
    <row r="55" spans="1:14">
      <c r="A55" s="11">
        <v>51</v>
      </c>
      <c r="B55" s="11">
        <v>91</v>
      </c>
      <c r="C55" s="11">
        <f>C54*(1+参数!$C$34)</f>
        <v>2.74541978965508</v>
      </c>
      <c r="D55" s="10">
        <f>参数!$C$20*12*C55*IF(B55&gt;=参数!$C$8,参数!$C$23,1)</f>
        <v>415107.4721958481</v>
      </c>
      <c r="E55" s="10">
        <f>参数!$C$21*12*(1+参数!$C$35)^A55</f>
        <v>144489.23730049664</v>
      </c>
      <c r="F55" s="10">
        <f>参数!$C$22*(1+参数!$C$34)^A55*(1+参数!$C$38)^A55</f>
        <v>148760.78651926643</v>
      </c>
      <c r="G55" s="10">
        <f>IF(A55&lt;参数!$C$26,参数!$C$27,0)</f>
        <v>0.0</v>
      </c>
      <c r="H55" s="10">
        <f>IF(参数!$C$28+A55&lt;=参数!$C$30,参数!$C$29*(1+参数!$C$36)^A55,0)</f>
        <v>0.0</v>
      </c>
      <c r="I55" s="10">
        <f>IF(AND(B55&gt;=参数!$D$46,B55&lt;=参数!$F$46,MOD(B55-参数!$D$46,参数!$E$46)=0),参数!$C$46*C55,0)+IF(AND(B55&gt;=参数!$D$47,B55&lt;=参数!$F$47,MOD(B55-参数!$D$47,参数!$E$47)=0),参数!$C$47*C55,0)+IF(AND(B55&gt;=参数!$D$48,B55&lt;=参数!$F$48,MOD(B55-参数!$D$48,参数!$E$48)=0),参数!$C$48*C55,0)</f>
        <v>0.0</v>
      </c>
      <c r="J55" s="10">
        <f>SUM(D55:I55)</f>
        <v>708357.4960156112</v>
      </c>
      <c r="K55" s="10">
        <f>IF(B55&gt;=参数!$C$32,参数!$C$31*12*C55,0)</f>
        <v>316860.9717125303</v>
      </c>
      <c r="L55" s="10">
        <f>J55-K55</f>
        <v>391496.5243030809</v>
      </c>
      <c r="M55" s="12">
        <f>N54</f>
        <v>74360010.98931529</v>
      </c>
      <c r="N55" s="10">
        <f>(M55-L55)*(1+参数!$C$37)</f>
        <v>76809075.54805195</v>
      </c>
    </row>
    <row r="56" spans="1:14">
      <c r="A56" s="11">
        <v>52</v>
      </c>
      <c r="B56" s="11">
        <v>92</v>
      </c>
      <c r="C56" s="11">
        <f>C55*(1+参数!$C$34)</f>
        <v>2.8003281854481816</v>
      </c>
      <c r="D56" s="10">
        <f>参数!$C$20*12*C56*IF(B56&gt;=参数!$C$8,参数!$C$23,1)</f>
        <v>423409.62163976504</v>
      </c>
      <c r="E56" s="10">
        <f>参数!$C$21*12*(1+参数!$C$35)^A56</f>
        <v>151713.69916552145</v>
      </c>
      <c r="F56" s="10">
        <f>参数!$C$22*(1+参数!$C$34)^A56*(1+参数!$C$38)^A56</f>
        <v>156288.0823171413</v>
      </c>
      <c r="G56" s="10">
        <f>IF(A56&lt;参数!$C$26,参数!$C$27,0)</f>
        <v>0.0</v>
      </c>
      <c r="H56" s="10">
        <f>IF(参数!$C$28+A56&lt;=参数!$C$30,参数!$C$29*(1+参数!$C$36)^A56,0)</f>
        <v>0.0</v>
      </c>
      <c r="I56" s="10">
        <f>IF(AND(B56&gt;=参数!$D$46,B56&lt;=参数!$F$46,MOD(B56-参数!$D$46,参数!$E$46)=0),参数!$C$46*C56,0)+IF(AND(B56&gt;=参数!$D$47,B56&lt;=参数!$F$47,MOD(B56-参数!$D$47,参数!$E$47)=0),参数!$C$47*C56,0)+IF(AND(B56&gt;=参数!$D$48,B56&lt;=参数!$F$48,MOD(B56-参数!$D$48,参数!$E$48)=0),参数!$C$48*C56,0)</f>
        <v>0.0</v>
      </c>
      <c r="J56" s="10">
        <f>SUM(D56:I56)</f>
        <v>731411.4031224279</v>
      </c>
      <c r="K56" s="10">
        <f>IF(B56&gt;=参数!$C$32,参数!$C$31*12*C56,0)</f>
        <v>323198.1911467809</v>
      </c>
      <c r="L56" s="10">
        <f>J56-K56</f>
        <v>408213.21197564696</v>
      </c>
      <c r="M56" s="12">
        <f>N55</f>
        <v>76809075.54805195</v>
      </c>
      <c r="N56" s="10">
        <f>(M56-L56)*(1+参数!$C$37)</f>
        <v>79334831.17176501</v>
      </c>
    </row>
    <row r="57" spans="1:14">
      <c r="A57" s="11">
        <v>53</v>
      </c>
      <c r="B57" s="11">
        <v>93</v>
      </c>
      <c r="C57" s="11">
        <f>C56*(1+参数!$C$34)</f>
        <v>2.856334749157145</v>
      </c>
      <c r="D57" s="10">
        <f>参数!$C$20*12*C57*IF(B57&gt;=参数!$C$8,参数!$C$23,1)</f>
        <v>431877.81407256034</v>
      </c>
      <c r="E57" s="10">
        <f>参数!$C$21*12*(1+参数!$C$35)^A57</f>
        <v>159299.38412379756</v>
      </c>
      <c r="F57" s="10">
        <f>参数!$C$22*(1+参数!$C$34)^A57*(1+参数!$C$38)^A57</f>
        <v>164196.25928238867</v>
      </c>
      <c r="G57" s="10">
        <f>IF(A57&lt;参数!$C$26,参数!$C$27,0)</f>
        <v>0.0</v>
      </c>
      <c r="H57" s="10">
        <f>IF(参数!$C$28+A57&lt;=参数!$C$30,参数!$C$29*(1+参数!$C$36)^A57,0)</f>
        <v>0.0</v>
      </c>
      <c r="I57" s="10">
        <f>IF(AND(B57&gt;=参数!$D$46,B57&lt;=参数!$F$46,MOD(B57-参数!$D$46,参数!$E$46)=0),参数!$C$46*C57,0)+IF(AND(B57&gt;=参数!$D$47,B57&lt;=参数!$F$47,MOD(B57-参数!$D$47,参数!$E$47)=0),参数!$C$47*C57,0)+IF(AND(B57&gt;=参数!$D$48,B57&lt;=参数!$F$48,MOD(B57-参数!$D$48,参数!$E$48)=0),参数!$C$48*C57,0)</f>
        <v>0.0</v>
      </c>
      <c r="J57" s="10">
        <f>SUM(D57:I57)</f>
        <v>755373.4574787465</v>
      </c>
      <c r="K57" s="10">
        <f>IF(B57&gt;=参数!$C$32,参数!$C$31*12*C57,0)</f>
        <v>329662.15496971656</v>
      </c>
      <c r="L57" s="10">
        <f>J57-K57</f>
        <v>425711.30250903</v>
      </c>
      <c r="M57" s="12">
        <f>N56</f>
        <v>79334831.17176501</v>
      </c>
      <c r="N57" s="10">
        <f>(M57-L57)*(1+参数!$C$37)</f>
        <v>81939411.56321111</v>
      </c>
    </row>
    <row r="58" spans="1:14">
      <c r="A58" s="11">
        <v>54</v>
      </c>
      <c r="B58" s="11">
        <v>94</v>
      </c>
      <c r="C58" s="11">
        <f>C57*(1+参数!$C$34)</f>
        <v>2.9134614441402884</v>
      </c>
      <c r="D58" s="10">
        <f>参数!$C$20*12*C58*IF(B58&gt;=参数!$C$8,参数!$C$23,1)</f>
        <v>440515.37035401165</v>
      </c>
      <c r="E58" s="10">
        <f>参数!$C$21*12*(1+参数!$C$35)^A58</f>
        <v>167264.35332998744</v>
      </c>
      <c r="F58" s="10">
        <f>参数!$C$22*(1+参数!$C$34)^A58*(1+参数!$C$38)^A58</f>
        <v>172504.59000207754</v>
      </c>
      <c r="G58" s="10">
        <f>IF(A58&lt;参数!$C$26,参数!$C$27,0)</f>
        <v>0.0</v>
      </c>
      <c r="H58" s="10">
        <f>IF(参数!$C$28+A58&lt;=参数!$C$30,参数!$C$29*(1+参数!$C$36)^A58,0)</f>
        <v>0.0</v>
      </c>
      <c r="I58" s="10">
        <f>IF(AND(B58&gt;=参数!$D$46,B58&lt;=参数!$F$46,MOD(B58-参数!$D$46,参数!$E$46)=0),参数!$C$46*C58,0)+IF(AND(B58&gt;=参数!$D$47,B58&lt;=参数!$F$47,MOD(B58-参数!$D$47,参数!$E$47)=0),参数!$C$47*C58,0)+IF(AND(B58&gt;=参数!$D$48,B58&lt;=参数!$F$48,MOD(B58-参数!$D$48,参数!$E$48)=0),参数!$C$48*C58,0)</f>
        <v>0.0</v>
      </c>
      <c r="J58" s="10">
        <f>SUM(D58:I58)</f>
        <v>780284.3136860767</v>
      </c>
      <c r="K58" s="10">
        <f>IF(B58&gt;=参数!$C$32,参数!$C$31*12*C58,0)</f>
        <v>336255.39806911093</v>
      </c>
      <c r="L58" s="10">
        <f>J58-K58</f>
        <v>444028.91561696574</v>
      </c>
      <c r="M58" s="12">
        <f>N57</f>
        <v>81939411.56321111</v>
      </c>
      <c r="N58" s="10">
        <f>(M58-L58)*(1+参数!$C$37)</f>
        <v>84624992.78064185</v>
      </c>
    </row>
    <row r="59" spans="1:14">
      <c r="A59" s="11">
        <v>55</v>
      </c>
      <c r="B59" s="11">
        <v>95</v>
      </c>
      <c r="C59" s="11">
        <f>C58*(1+参数!$C$34)</f>
        <v>2.971730673023094</v>
      </c>
      <c r="D59" s="10">
        <f>参数!$C$20*12*C59*IF(B59&gt;=参数!$C$8,参数!$C$23,1)</f>
        <v>449325.67776109185</v>
      </c>
      <c r="E59" s="10">
        <f>参数!$C$21*12*(1+参数!$C$35)^A59</f>
        <v>175627.57099648681</v>
      </c>
      <c r="F59" s="10">
        <f>参数!$C$22*(1+参数!$C$34)^A59*(1+参数!$C$38)^A59</f>
        <v>181233.32225618267</v>
      </c>
      <c r="G59" s="10">
        <f>IF(A59&lt;参数!$C$26,参数!$C$27,0)</f>
        <v>0.0</v>
      </c>
      <c r="H59" s="10">
        <f>IF(参数!$C$28+A59&lt;=参数!$C$30,参数!$C$29*(1+参数!$C$36)^A59,0)</f>
        <v>0.0</v>
      </c>
      <c r="I59" s="10">
        <f>IF(AND(B59&gt;=参数!$D$46,B59&lt;=参数!$F$46,MOD(B59-参数!$D$46,参数!$E$46)=0),参数!$C$46*C59,0)+IF(AND(B59&gt;=参数!$D$47,B59&lt;=参数!$F$47,MOD(B59-参数!$D$47,参数!$E$47)=0),参数!$C$47*C59,0)+IF(AND(B59&gt;=参数!$D$48,B59&lt;=参数!$F$48,MOD(B59-参数!$D$48,参数!$E$48)=0),参数!$C$48*C59,0)</f>
        <v>0.0</v>
      </c>
      <c r="J59" s="10">
        <f>SUM(D59:I59)</f>
        <v>806186.5710137613</v>
      </c>
      <c r="K59" s="10">
        <f>IF(B59&gt;=参数!$C$32,参数!$C$31*12*C59,0)</f>
        <v>342980.5060304931</v>
      </c>
      <c r="L59" s="10">
        <f>J59-K59</f>
        <v>463206.0649832682</v>
      </c>
      <c r="M59" s="12">
        <f>N58</f>
        <v>84624992.78064185</v>
      </c>
      <c r="N59" s="10">
        <f>(M59-L59)*(1+参数!$C$37)</f>
        <v>87393792.89764933</v>
      </c>
    </row>
    <row r="60" spans="1:14">
      <c r="A60" s="11">
        <v>56</v>
      </c>
      <c r="B60" s="11">
        <v>96</v>
      </c>
      <c r="C60" s="11">
        <f>C59*(1+参数!$C$34)</f>
        <v>3.031165286483556</v>
      </c>
      <c r="D60" s="10">
        <f>参数!$C$20*12*C60*IF(B60&gt;=参数!$C$8,参数!$C$23,1)</f>
        <v>458312.1913163137</v>
      </c>
      <c r="E60" s="10">
        <f>参数!$C$21*12*(1+参数!$C$35)^A60</f>
        <v>184408.94954631117</v>
      </c>
      <c r="F60" s="10">
        <f>参数!$C$22*(1+参数!$C$34)^A60*(1+参数!$C$38)^A60</f>
        <v>190403.72836234552</v>
      </c>
      <c r="G60" s="10">
        <f>IF(A60&lt;参数!$C$26,参数!$C$27,0)</f>
        <v>0.0</v>
      </c>
      <c r="H60" s="10">
        <f>IF(参数!$C$28+A60&lt;=参数!$C$30,参数!$C$29*(1+参数!$C$36)^A60,0)</f>
        <v>0.0</v>
      </c>
      <c r="I60" s="10">
        <f>IF(AND(B60&gt;=参数!$D$46,B60&lt;=参数!$F$46,MOD(B60-参数!$D$46,参数!$E$46)=0),参数!$C$46*C60,0)+IF(AND(B60&gt;=参数!$D$47,B60&lt;=参数!$F$47,MOD(B60-参数!$D$47,参数!$E$47)=0),参数!$C$47*C60,0)+IF(AND(B60&gt;=参数!$D$48,B60&lt;=参数!$F$48,MOD(B60-参数!$D$48,参数!$E$48)=0),参数!$C$48*C60,0)</f>
        <v>0.0</v>
      </c>
      <c r="J60" s="10">
        <f>SUM(D60:I60)</f>
        <v>833124.8692249703</v>
      </c>
      <c r="K60" s="10">
        <f>IF(B60&gt;=参数!$C$32,参数!$C$31*12*C60,0)</f>
        <v>349840.116151103</v>
      </c>
      <c r="L60" s="10">
        <f>J60-K60</f>
        <v>483284.75307386735</v>
      </c>
      <c r="M60" s="12">
        <f>N59</f>
        <v>87393792.89764933</v>
      </c>
      <c r="N60" s="10">
        <f>(M60-L60)*(1+参数!$C$37)</f>
        <v>90248071.5514959</v>
      </c>
    </row>
    <row r="61" spans="1:14">
      <c r="A61" s="11">
        <v>57</v>
      </c>
      <c r="B61" s="11">
        <v>97</v>
      </c>
      <c r="C61" s="11">
        <f>C60*(1+参数!$C$34)</f>
        <v>3.091788592213227</v>
      </c>
      <c r="D61" s="10">
        <f>参数!$C$20*12*C61*IF(B61&gt;=参数!$C$8,参数!$C$23,1)</f>
        <v>467478.43514263997</v>
      </c>
      <c r="E61" s="10">
        <f>参数!$C$21*12*(1+参数!$C$35)^A61</f>
        <v>193629.39702362672</v>
      </c>
      <c r="F61" s="10">
        <f>参数!$C$22*(1+参数!$C$34)^A61*(1+参数!$C$38)^A61</f>
        <v>200038.1570174802</v>
      </c>
      <c r="G61" s="10">
        <f>IF(A61&lt;参数!$C$26,参数!$C$27,0)</f>
        <v>0.0</v>
      </c>
      <c r="H61" s="10">
        <f>IF(参数!$C$28+A61&lt;=参数!$C$30,参数!$C$29*(1+参数!$C$36)^A61,0)</f>
        <v>0.0</v>
      </c>
      <c r="I61" s="10">
        <f>IF(AND(B61&gt;=参数!$D$46,B61&lt;=参数!$F$46,MOD(B61-参数!$D$46,参数!$E$46)=0),参数!$C$46*C61,0)+IF(AND(B61&gt;=参数!$D$47,B61&lt;=参数!$F$47,MOD(B61-参数!$D$47,参数!$E$47)=0),参数!$C$47*C61,0)+IF(AND(B61&gt;=参数!$D$48,B61&lt;=参数!$F$48,MOD(B61-参数!$D$48,参数!$E$48)=0),参数!$C$48*C61,0)</f>
        <v>0.0</v>
      </c>
      <c r="J61" s="10">
        <f>SUM(D61:I61)</f>
        <v>861145.9891837469</v>
      </c>
      <c r="K61" s="10">
        <f>IF(B61&gt;=参数!$C$32,参数!$C$31*12*C61,0)</f>
        <v>356836.91847412504</v>
      </c>
      <c r="L61" s="10">
        <f>J61-K61</f>
        <v>504309.0707096218</v>
      </c>
      <c r="M61" s="12">
        <f>N60</f>
        <v>90248071.5514959</v>
      </c>
      <c r="N61" s="10">
        <f>(M61-L61)*(1+参数!$C$37)</f>
        <v>93190129.37070218</v>
      </c>
    </row>
    <row r="62" spans="1:14">
      <c r="A62" s="11">
        <v>58</v>
      </c>
      <c r="B62" s="11">
        <v>98</v>
      </c>
      <c r="C62" s="11">
        <f>C61*(1+参数!$C$34)</f>
        <v>3.153624364057492</v>
      </c>
      <c r="D62" s="10">
        <f>参数!$C$20*12*C62*IF(B62&gt;=参数!$C$8,参数!$C$23,1)</f>
        <v>476828.0038454928</v>
      </c>
      <c r="E62" s="10">
        <f>参数!$C$21*12*(1+参数!$C$35)^A62</f>
        <v>203310.8668748081</v>
      </c>
      <c r="F62" s="10">
        <f>参数!$C$22*(1+参数!$C$34)^A62*(1+参数!$C$38)^A62</f>
        <v>210160.08776256474</v>
      </c>
      <c r="G62" s="10">
        <f>IF(A62&lt;参数!$C$26,参数!$C$27,0)</f>
        <v>0.0</v>
      </c>
      <c r="H62" s="10">
        <f>IF(参数!$C$28+A62&lt;=参数!$C$30,参数!$C$29*(1+参数!$C$36)^A62,0)</f>
        <v>0.0</v>
      </c>
      <c r="I62" s="10">
        <f>IF(AND(B62&gt;=参数!$D$46,B62&lt;=参数!$F$46,MOD(B62-参数!$D$46,参数!$E$46)=0),参数!$C$46*C62,0)+IF(AND(B62&gt;=参数!$D$47,B62&lt;=参数!$F$47,MOD(B62-参数!$D$47,参数!$E$47)=0),参数!$C$47*C62,0)+IF(AND(B62&gt;=参数!$D$48,B62&lt;=参数!$F$48,MOD(B62-参数!$D$48,参数!$E$48)=0),参数!$C$48*C62,0)</f>
        <v>0.0</v>
      </c>
      <c r="J62" s="10">
        <f>SUM(D62:I62)</f>
        <v>890298.9584828656</v>
      </c>
      <c r="K62" s="10">
        <f>IF(B62&gt;=参数!$C$32,参数!$C$31*12*C62,0)</f>
        <v>363973.65684360755</v>
      </c>
      <c r="L62" s="10">
        <f>J62-K62</f>
        <v>526325.301639258</v>
      </c>
      <c r="M62" s="12">
        <f>N61</f>
        <v>93190129.37070218</v>
      </c>
      <c r="N62" s="10">
        <f>(M62-L62)*(1+参数!$C$37)</f>
        <v>96222307.2720643</v>
      </c>
    </row>
    <row r="63" spans="1:14">
      <c r="A63" s="11">
        <v>59</v>
      </c>
      <c r="B63" s="11">
        <v>99</v>
      </c>
      <c r="C63" s="11">
        <f>C62*(1+参数!$C$34)</f>
        <v>3.2166968513386416</v>
      </c>
      <c r="D63" s="10">
        <f>参数!$C$20*12*C63*IF(B63&gt;=参数!$C$8,参数!$C$23,1)</f>
        <v>486364.5639224026</v>
      </c>
      <c r="E63" s="10">
        <f>参数!$C$21*12*(1+参数!$C$35)^A63</f>
        <v>213476.41021854847</v>
      </c>
      <c r="F63" s="10">
        <f>参数!$C$22*(1+参数!$C$34)^A63*(1+参数!$C$38)^A63</f>
        <v>220794.18820335052</v>
      </c>
      <c r="G63" s="10">
        <f>IF(A63&lt;参数!$C$26,参数!$C$27,0)</f>
        <v>0.0</v>
      </c>
      <c r="H63" s="10">
        <f>IF(参数!$C$28+A63&lt;=参数!$C$30,参数!$C$29*(1+参数!$C$36)^A63,0)</f>
        <v>0.0</v>
      </c>
      <c r="I63" s="10">
        <f>IF(AND(B63&gt;=参数!$D$46,B63&lt;=参数!$F$46,MOD(B63-参数!$D$46,参数!$E$46)=0),参数!$C$46*C63,0)+IF(AND(B63&gt;=参数!$D$47,B63&lt;=参数!$F$47,MOD(B63-参数!$D$47,参数!$E$47)=0),参数!$C$47*C63,0)+IF(AND(B63&gt;=参数!$D$48,B63&lt;=参数!$F$48,MOD(B63-参数!$D$48,参数!$E$48)=0),参数!$C$48*C63,0)</f>
        <v>0.0</v>
      </c>
      <c r="J63" s="10">
        <f>SUM(D63:I63)</f>
        <v>920635.1623443016</v>
      </c>
      <c r="K63" s="10">
        <f>IF(B63&gt;=参数!$C$32,参数!$C$31*12*C63,0)</f>
        <v>371253.1299804797</v>
      </c>
      <c r="L63" s="10">
        <f>J63-K63</f>
        <v>549382.0323638219</v>
      </c>
      <c r="M63" s="12">
        <f>N62</f>
        <v>96222307.2720643</v>
      </c>
      <c r="N63" s="10">
        <f>(M63-L63)*(1+参数!$C$37)</f>
        <v>99346985.61663303</v>
      </c>
    </row>
    <row r="64" spans="1:14">
      <c r="A64" s="11">
        <v>60</v>
      </c>
      <c r="B64" s="11">
        <v>100</v>
      </c>
      <c r="C64" s="11">
        <f>C63*(1+参数!$C$34)</f>
        <v>3.2810307883654146</v>
      </c>
      <c r="D64" s="10">
        <f>参数!$C$20*12*C64*IF(B64&gt;=参数!$C$8,参数!$C$23,1)</f>
        <v>496091.8552008507</v>
      </c>
      <c r="E64" s="10">
        <f>参数!$C$21*12*(1+参数!$C$35)^A64</f>
        <v>224150.23072947594</v>
      </c>
      <c r="F64" s="10">
        <f>参数!$C$22*(1+参数!$C$34)^A64*(1+参数!$C$38)^A64</f>
        <v>231966.37412644003</v>
      </c>
      <c r="G64" s="10">
        <f>IF(A64&lt;参数!$C$26,参数!$C$27,0)</f>
        <v>0.0</v>
      </c>
      <c r="H64" s="10">
        <f>IF(参数!$C$28+A64&lt;=参数!$C$30,参数!$C$29*(1+参数!$C$36)^A64,0)</f>
        <v>0.0</v>
      </c>
      <c r="I64" s="10">
        <f>IF(AND(B64&gt;=参数!$D$46,B64&lt;=参数!$F$46,MOD(B64-参数!$D$46,参数!$E$46)=0),参数!$C$46*C64,0)+IF(AND(B64&gt;=参数!$D$47,B64&lt;=参数!$F$47,MOD(B64-参数!$D$47,参数!$E$47)=0),参数!$C$47*C64,0)+IF(AND(B64&gt;=参数!$D$48,B64&lt;=参数!$F$48,MOD(B64-参数!$D$48,参数!$E$48)=0),参数!$C$48*C64,0)</f>
        <v>0.0</v>
      </c>
      <c r="J64" s="10">
        <f>SUM(D64:I64)</f>
        <v>952208.4600567666</v>
      </c>
      <c r="K64" s="10">
        <f>IF(B64&gt;=参数!$C$32,参数!$C$31*12*C64,0)</f>
        <v>378678.1925800893</v>
      </c>
      <c r="L64" s="10">
        <f>J64-K64</f>
        <v>573530.2674766773</v>
      </c>
      <c r="M64" s="12">
        <f>N63</f>
        <v>99346985.61663303</v>
      </c>
      <c r="N64" s="10">
        <f>(M64-L64)*(1+参数!$C$37)</f>
        <v>102566583.21351126</v>
      </c>
    </row>
    <row r="66" spans="2:3">
      <c r="B66" s="5" t="s">
        <v>121</v>
      </c>
      <c r="C66" s="12">
        <f>N64</f>
        <v>102566583.21351126</v>
      </c>
    </row>
    <row r="67" spans="2:3">
      <c r="B67" s="5" t="s">
        <v>122</v>
      </c>
      <c r="C67" s="5" t="str">
        <f>IFERROR(INDEX(B4:B64,MATCH(TRUE,INDEX(N4:N64&lt;0,0),0)),"未耗尽")</f>
        <v>未耗尽</v>
      </c>
    </row>
    <row r="68" spans="2:3">
      <c r="B68" s="5" t="s">
        <v>123</v>
      </c>
      <c r="C68" s="10">
        <f>MIN(N4:N64)</f>
        <v>19043123.73099561</v>
      </c>
    </row>
  </sheetData>
  <conditionalFormatting sqref="N4:N64">
    <cfRule type="cellIs" dxfId="0" priority="1" operator="lessThan">
      <formula>0</formula>
    </cfRule>
  </conditionalFormatting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B2:E46"/>
  <sheetViews>
    <sheetView showGridLines="0" workbookViewId="0"/>
  </sheetViews>
  <sheetFormatPr defaultRowHeight="15"/>
  <cols>
    <col min="1" max="1" width="3.7109375" customWidth="1"/>
    <col min="2" max="2" width="30.7109375" customWidth="1"/>
    <col min="3" max="3" width="18.7109375" customWidth="1"/>
    <col min="4" max="4" width="14.7109375" customWidth="1"/>
    <col min="5" max="5" width="54.7109375" customWidth="1"/>
  </cols>
  <sheetData>
    <row r="2" spans="2:4">
      <c r="B2" s="1" t="s">
        <v>124</v>
      </c>
    </row>
    <row r="3" spans="2:4">
      <c r="B3" s="2" t="s">
        <v>125</v>
      </c>
    </row>
    <row r="5" spans="2:4">
      <c r="B5" s="5" t="s">
        <v>126</v>
      </c>
      <c r="C5" s="12">
        <v>18619051.76807226</v>
      </c>
      <c r="D5" s="5" t="s">
        <v>127</v>
      </c>
    </row>
    <row r="6" spans="2:4">
      <c r="B6" s="5" t="s">
        <v>128</v>
      </c>
      <c r="C6" s="10">
        <v>3000000</v>
      </c>
    </row>
    <row r="7" spans="2:4">
      <c r="B7" s="5" t="s">
        <v>129</v>
      </c>
      <c r="C7" s="13">
        <v>0.1611252837883165</v>
      </c>
    </row>
    <row r="8" spans="2:4">
      <c r="B8" s="5" t="s">
        <v>130</v>
      </c>
      <c r="C8" s="13">
        <v>0</v>
      </c>
    </row>
    <row r="9" spans="2:4">
      <c r="B9" s="5" t="s">
        <v>131</v>
      </c>
      <c r="C9" s="13">
        <v>0</v>
      </c>
    </row>
    <row r="10" spans="2:4">
      <c r="B10" s="5" t="s">
        <v>132</v>
      </c>
      <c r="C10" s="10">
        <v>280183.03125</v>
      </c>
    </row>
    <row r="11" spans="2:4">
      <c r="B11" s="5" t="s">
        <v>133</v>
      </c>
      <c r="C11" s="13">
        <v>0.01504819014094234</v>
      </c>
    </row>
    <row r="12" spans="2:4">
      <c r="B12" s="5" t="s">
        <v>134</v>
      </c>
      <c r="C12" s="10">
        <v>0</v>
      </c>
      <c r="D12" s="5" t="s">
        <v>53</v>
      </c>
    </row>
    <row r="13" spans="2:4">
      <c r="B13" s="5" t="s">
        <v>135</v>
      </c>
      <c r="C13" s="10">
        <v>7004575.78125</v>
      </c>
    </row>
    <row r="14" spans="2:4">
      <c r="B14" s="5" t="s">
        <v>136</v>
      </c>
      <c r="C14" s="14">
        <v>0.15575</v>
      </c>
    </row>
    <row r="16" spans="2:4">
      <c r="B16" s="4" t="s">
        <v>137</v>
      </c>
    </row>
    <row r="17" spans="2:5">
      <c r="B17" s="7" t="s">
        <v>91</v>
      </c>
      <c r="C17" s="7" t="s">
        <v>8</v>
      </c>
      <c r="D17" s="7" t="s">
        <v>138</v>
      </c>
      <c r="E17" s="7" t="s">
        <v>139</v>
      </c>
    </row>
    <row r="18" spans="2:5">
      <c r="B18" s="5" t="s">
        <v>140</v>
      </c>
      <c r="C18" s="10">
        <v>14819050.92128923</v>
      </c>
      <c r="D18" s="5" t="s">
        <v>141</v>
      </c>
      <c r="E18" s="6" t="s">
        <v>142</v>
      </c>
    </row>
    <row r="19" spans="2:5">
      <c r="B19" s="5" t="s">
        <v>143</v>
      </c>
      <c r="C19" s="12">
        <v>18619051.76807226</v>
      </c>
      <c r="D19" s="5" t="s">
        <v>144</v>
      </c>
      <c r="E19" s="6" t="s">
        <v>145</v>
      </c>
    </row>
    <row r="20" spans="2:5">
      <c r="B20" s="5" t="s">
        <v>146</v>
      </c>
      <c r="C20" s="10">
        <v>22680641.37942608</v>
      </c>
      <c r="D20" s="5" t="s">
        <v>147</v>
      </c>
      <c r="E20" s="6" t="s">
        <v>148</v>
      </c>
    </row>
    <row r="21" spans="2:5">
      <c r="B21" s="5" t="s">
        <v>149</v>
      </c>
      <c r="C21" s="10">
        <v>34134928.24146581</v>
      </c>
      <c r="D21" s="5" t="s">
        <v>150</v>
      </c>
      <c r="E21" s="6" t="s">
        <v>148</v>
      </c>
    </row>
    <row r="23" spans="2:5">
      <c r="B23" s="4" t="s">
        <v>151</v>
      </c>
    </row>
    <row r="24" spans="2:5">
      <c r="B24" s="7" t="s">
        <v>98</v>
      </c>
      <c r="C24" s="7" t="s">
        <v>99</v>
      </c>
      <c r="D24" s="7"/>
      <c r="E24" s="7" t="s">
        <v>152</v>
      </c>
    </row>
    <row r="25" spans="2:5">
      <c r="B25" s="5" t="s">
        <v>153</v>
      </c>
      <c r="C25" s="10">
        <v>151200</v>
      </c>
      <c r="D25" s="5"/>
      <c r="E25" s="6"/>
    </row>
    <row r="26" spans="2:5">
      <c r="B26" s="5" t="s">
        <v>154</v>
      </c>
      <c r="C26" s="10">
        <v>12000</v>
      </c>
      <c r="D26" s="5"/>
      <c r="E26" s="6"/>
    </row>
    <row r="27" spans="2:5">
      <c r="B27" s="5" t="s">
        <v>155</v>
      </c>
      <c r="C27" s="10">
        <v>12000</v>
      </c>
      <c r="D27" s="5"/>
      <c r="E27" s="6"/>
    </row>
    <row r="28" spans="2:5">
      <c r="B28" s="5" t="s">
        <v>156</v>
      </c>
      <c r="C28" s="10">
        <v>84983.015625</v>
      </c>
      <c r="D28" s="5"/>
      <c r="E28" s="6"/>
    </row>
    <row r="29" spans="2:5">
      <c r="B29" s="5" t="s">
        <v>115</v>
      </c>
      <c r="C29" s="10">
        <v>20000</v>
      </c>
      <c r="D29" s="5"/>
      <c r="E29" s="6"/>
    </row>
    <row r="30" spans="2:5">
      <c r="B30" s="5" t="s">
        <v>157</v>
      </c>
      <c r="C30" s="10">
        <v>0</v>
      </c>
      <c r="D30" s="5"/>
      <c r="E30" s="6"/>
    </row>
    <row r="31" spans="2:5">
      <c r="B31" s="5" t="s">
        <v>158</v>
      </c>
      <c r="C31" s="10">
        <v>0</v>
      </c>
      <c r="D31" s="5"/>
      <c r="E31" s="6"/>
    </row>
    <row r="32" spans="2:5">
      <c r="B32" s="5" t="s">
        <v>116</v>
      </c>
      <c r="C32" s="10">
        <v>0</v>
      </c>
      <c r="D32" s="5"/>
      <c r="E32" s="6"/>
    </row>
    <row r="33" spans="2:5">
      <c r="B33" s="4" t="s">
        <v>161</v>
      </c>
      <c r="C33" s="10">
        <v>280183.03125</v>
      </c>
      <c r="D33" s="5"/>
      <c r="E33" s="6" t="s">
        <v>160</v>
      </c>
    </row>
    <row r="34" spans="2:5">
      <c r="B34" s="7" t="s">
        <v>162</v>
      </c>
      <c r="C34" s="7" t="s">
        <v>163</v>
      </c>
      <c r="D34" s="7"/>
      <c r="E34" s="7" t="s">
        <v>139</v>
      </c>
    </row>
    <row r="35" spans="2:5">
      <c r="B35" s="5" t="s">
        <v>164</v>
      </c>
      <c r="C35" s="15">
        <v>0.893</v>
      </c>
      <c r="D35" s="5"/>
      <c r="E35" s="6"/>
    </row>
    <row r="36" spans="2:5">
      <c r="B36" s="5" t="s">
        <v>165</v>
      </c>
      <c r="C36" s="14">
        <v>0.2855</v>
      </c>
      <c r="D36" s="5"/>
      <c r="E36" s="6"/>
    </row>
    <row r="37" spans="2:5">
      <c r="B37" s="5" t="s">
        <v>166</v>
      </c>
      <c r="C37" s="14">
        <v>0.3585</v>
      </c>
      <c r="D37" s="5"/>
      <c r="E37" s="6"/>
    </row>
    <row r="38" spans="2:5">
      <c r="B38" s="5" t="s">
        <v>167</v>
      </c>
      <c r="C38" s="15">
        <v>0.8605</v>
      </c>
      <c r="D38" s="5"/>
      <c r="E38" s="6"/>
    </row>
    <row r="39" spans="2:5">
      <c r="B39" s="5" t="s">
        <v>168</v>
      </c>
      <c r="C39" s="15">
        <v>0.8905</v>
      </c>
      <c r="D39" s="5"/>
      <c r="E39" s="6"/>
    </row>
    <row r="40" spans="2:5">
      <c r="B40" s="5" t="s">
        <v>169</v>
      </c>
      <c r="C40" s="16">
        <v>0.7514999999999999</v>
      </c>
      <c r="D40" s="5"/>
      <c r="E40" s="6"/>
    </row>
    <row r="43" spans="2:5">
      <c r="B43" s="4" t="s">
        <v>170</v>
      </c>
    </row>
    <row r="44" spans="2:5" ht="24" customHeight="1">
      <c r="B44" s="3" t="s">
        <v>171</v>
      </c>
      <c r="C44" s="3"/>
      <c r="D44" s="3"/>
      <c r="E44" s="3"/>
    </row>
    <row r="45" spans="2:5" ht="24" customHeight="1">
      <c r="B45" s="3"/>
      <c r="C45" s="3"/>
      <c r="D45" s="3"/>
      <c r="E45" s="3"/>
    </row>
    <row r="46" spans="2:5" ht="24" customHeight="1">
      <c r="B46" s="3"/>
      <c r="C46" s="3"/>
      <c r="D46" s="3"/>
      <c r="E46" s="3"/>
    </row>
  </sheetData>
  <mergeCells count="1">
    <mergeCell ref="B44:E4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H13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5" width="15.7109375" customWidth="1"/>
    <col min="6" max="8" width="12.7109375" customWidth="1"/>
  </cols>
  <sheetData>
    <row r="2" spans="2:8">
      <c r="B2" s="1" t="s">
        <v>172</v>
      </c>
    </row>
    <row r="3" spans="2:8">
      <c r="B3" s="2" t="s">
        <v>173</v>
      </c>
    </row>
    <row r="5" spans="2:8">
      <c r="B5" s="7" t="s">
        <v>22</v>
      </c>
      <c r="C5" s="7" t="s">
        <v>164</v>
      </c>
      <c r="D5" s="7" t="s">
        <v>174</v>
      </c>
      <c r="E5" s="7" t="s">
        <v>175</v>
      </c>
      <c r="F5" s="7" t="s">
        <v>176</v>
      </c>
      <c r="G5" s="7" t="s">
        <v>177</v>
      </c>
      <c r="H5" s="7" t="s">
        <v>178</v>
      </c>
    </row>
    <row r="6" spans="2:8">
      <c r="B6" s="5" t="s">
        <v>179</v>
      </c>
      <c r="C6" s="10">
        <v>19057040.36014448</v>
      </c>
      <c r="D6" s="10">
        <v>16901361.73475355</v>
      </c>
      <c r="E6" s="10">
        <v>21436222.12344641</v>
      </c>
      <c r="F6" s="5" t="s">
        <v>180</v>
      </c>
      <c r="G6" s="5" t="s">
        <v>181</v>
      </c>
      <c r="H6" s="13">
        <v>0.2379624696695806</v>
      </c>
    </row>
    <row r="7" spans="2:8">
      <c r="B7" s="5" t="s">
        <v>182</v>
      </c>
      <c r="C7" s="10">
        <v>19057040.36014448</v>
      </c>
      <c r="D7" s="10">
        <v>13337133.50934016</v>
      </c>
      <c r="E7" s="10">
        <v>29300859.42354071</v>
      </c>
      <c r="F7" s="5" t="s">
        <v>183</v>
      </c>
      <c r="G7" s="5" t="s">
        <v>184</v>
      </c>
      <c r="H7" s="13">
        <v>0.8376812774971484</v>
      </c>
    </row>
    <row r="8" spans="2:8">
      <c r="B8" s="5" t="s">
        <v>185</v>
      </c>
      <c r="C8" s="10">
        <v>19057040.36014448</v>
      </c>
      <c r="D8" s="10">
        <v>15076084.56061618</v>
      </c>
      <c r="E8" s="10">
        <v>24943079.14174036</v>
      </c>
      <c r="F8" s="5" t="s">
        <v>186</v>
      </c>
      <c r="G8" s="5" t="s">
        <v>187</v>
      </c>
      <c r="H8" s="13">
        <v>0.5177611210689262</v>
      </c>
    </row>
    <row r="9" spans="2:8">
      <c r="B9" s="5" t="s">
        <v>82</v>
      </c>
      <c r="C9" s="10">
        <v>19057040.36014448</v>
      </c>
      <c r="D9" s="10">
        <v>17816485.10124312</v>
      </c>
      <c r="E9" s="10">
        <v>22329994.6602247</v>
      </c>
      <c r="F9" s="5" t="s">
        <v>188</v>
      </c>
      <c r="G9" s="5" t="s">
        <v>189</v>
      </c>
      <c r="H9" s="13">
        <v>0.2368421052631578</v>
      </c>
    </row>
    <row r="10" spans="2:8">
      <c r="B10" s="5" t="s">
        <v>190</v>
      </c>
      <c r="C10" s="10">
        <v>19057040.36014448</v>
      </c>
      <c r="D10" s="10">
        <v>18872276.81094641</v>
      </c>
      <c r="E10" s="10">
        <v>19268198.70208514</v>
      </c>
      <c r="F10" s="5" t="s">
        <v>191</v>
      </c>
      <c r="G10" s="5" t="s">
        <v>192</v>
      </c>
      <c r="H10" s="13">
        <v>0.02077562326869788</v>
      </c>
    </row>
    <row r="11" spans="2:8">
      <c r="B11" s="5" t="s">
        <v>118</v>
      </c>
      <c r="C11" s="10">
        <v>19057040.36014448</v>
      </c>
      <c r="D11" s="10">
        <v>19004250.77465932</v>
      </c>
      <c r="E11" s="10">
        <v>19162619.53111482</v>
      </c>
      <c r="F11" s="5" t="s">
        <v>181</v>
      </c>
      <c r="G11" s="5" t="s">
        <v>191</v>
      </c>
      <c r="H11" s="13">
        <v>0.00831024930747931</v>
      </c>
    </row>
    <row r="12" spans="2:8">
      <c r="B12" s="5" t="s">
        <v>193</v>
      </c>
      <c r="C12" s="10">
        <v>19057040.36014448</v>
      </c>
      <c r="D12" s="10">
        <v>18608328.88352059</v>
      </c>
      <c r="E12" s="10">
        <v>19690515.38596646</v>
      </c>
      <c r="F12" s="5" t="s">
        <v>194</v>
      </c>
      <c r="G12" s="5" t="s">
        <v>195</v>
      </c>
      <c r="H12" s="13">
        <v>0.05678670360110796</v>
      </c>
    </row>
    <row r="13" spans="2:8">
      <c r="B13" s="5" t="s">
        <v>196</v>
      </c>
      <c r="C13" s="10">
        <v>19057040.36014448</v>
      </c>
      <c r="D13" s="10">
        <v>16892667.35525273</v>
      </c>
      <c r="E13" s="10">
        <v>19189014.3238574</v>
      </c>
      <c r="F13" s="5" t="s">
        <v>197</v>
      </c>
      <c r="G13" s="5" t="s">
        <v>198</v>
      </c>
      <c r="H13" s="13">
        <v>0.1204986149584486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F25"/>
  <sheetViews>
    <sheetView showGridLines="0" workbookViewId="0"/>
  </sheetViews>
  <sheetFormatPr defaultRowHeight="15"/>
  <cols>
    <col min="1" max="1" width="3.7109375" customWidth="1"/>
    <col min="2" max="3" width="30.7109375" customWidth="1"/>
    <col min="4" max="4" width="14.7109375" customWidth="1"/>
    <col min="5" max="5" width="56.7109375" customWidth="1"/>
    <col min="6" max="6" width="10.7109375" customWidth="1"/>
  </cols>
  <sheetData>
    <row r="2" spans="2:6">
      <c r="B2" s="1" t="s">
        <v>199</v>
      </c>
    </row>
    <row r="3" spans="2:6">
      <c r="B3" s="2" t="s">
        <v>200</v>
      </c>
    </row>
    <row r="5" spans="2:6">
      <c r="B5" s="7" t="s">
        <v>201</v>
      </c>
      <c r="C5" s="7" t="s">
        <v>202</v>
      </c>
      <c r="D5" s="7" t="s">
        <v>203</v>
      </c>
      <c r="E5" s="7" t="s">
        <v>204</v>
      </c>
      <c r="F5" s="7" t="s">
        <v>205</v>
      </c>
    </row>
    <row r="6" spans="2:6" ht="28" customHeight="1">
      <c r="B6" s="5" t="s">
        <v>206</v>
      </c>
      <c r="C6" s="5" t="s">
        <v>207</v>
      </c>
      <c r="D6" s="5" t="s">
        <v>208</v>
      </c>
      <c r="E6" s="5" t="s">
        <v>209</v>
      </c>
      <c r="F6" s="17" t="s">
        <v>205</v>
      </c>
    </row>
    <row r="7" spans="2:6" ht="28" customHeight="1">
      <c r="B7" s="5" t="s">
        <v>210</v>
      </c>
      <c r="C7" s="5" t="s">
        <v>211</v>
      </c>
      <c r="D7" s="5" t="s">
        <v>208</v>
      </c>
      <c r="E7" s="5" t="s">
        <v>209</v>
      </c>
      <c r="F7" s="17" t="s">
        <v>205</v>
      </c>
    </row>
    <row r="8" spans="2:6" ht="28" customHeight="1">
      <c r="B8" s="5" t="s">
        <v>212</v>
      </c>
      <c r="C8" s="5" t="s">
        <v>213</v>
      </c>
      <c r="D8" s="5" t="s">
        <v>208</v>
      </c>
      <c r="E8" s="5" t="s">
        <v>214</v>
      </c>
      <c r="F8" s="17" t="s">
        <v>205</v>
      </c>
    </row>
    <row r="9" spans="2:6" ht="28" customHeight="1">
      <c r="B9" s="5" t="s">
        <v>215</v>
      </c>
      <c r="C9" s="5" t="s">
        <v>216</v>
      </c>
      <c r="D9" s="5" t="s">
        <v>208</v>
      </c>
      <c r="E9" s="5" t="s">
        <v>217</v>
      </c>
      <c r="F9" s="17" t="s">
        <v>205</v>
      </c>
    </row>
    <row r="10" spans="2:6" ht="28" customHeight="1">
      <c r="B10" s="5" t="s">
        <v>218</v>
      </c>
      <c r="C10" s="5" t="s">
        <v>219</v>
      </c>
      <c r="D10" s="5" t="s">
        <v>220</v>
      </c>
      <c r="E10" s="5" t="s">
        <v>209</v>
      </c>
      <c r="F10" s="17" t="s">
        <v>205</v>
      </c>
    </row>
    <row r="11" spans="2:6" ht="28" customHeight="1">
      <c r="B11" s="5" t="s">
        <v>221</v>
      </c>
      <c r="C11" s="5" t="s">
        <v>222</v>
      </c>
      <c r="D11" s="5" t="s">
        <v>208</v>
      </c>
      <c r="E11" s="5" t="s">
        <v>223</v>
      </c>
      <c r="F11" s="17" t="s">
        <v>205</v>
      </c>
    </row>
    <row r="12" spans="2:6" ht="28" customHeight="1">
      <c r="B12" s="5" t="s">
        <v>224</v>
      </c>
      <c r="C12" s="5" t="s">
        <v>225</v>
      </c>
      <c r="D12" s="5" t="s">
        <v>208</v>
      </c>
      <c r="E12" s="5" t="s">
        <v>226</v>
      </c>
      <c r="F12" s="17" t="s">
        <v>205</v>
      </c>
    </row>
    <row r="13" spans="2:6" ht="28" customHeight="1">
      <c r="B13" s="5" t="s">
        <v>227</v>
      </c>
      <c r="C13" s="5" t="s">
        <v>228</v>
      </c>
      <c r="D13" s="5" t="s">
        <v>208</v>
      </c>
      <c r="E13" s="5" t="s">
        <v>229</v>
      </c>
      <c r="F13" s="17" t="s">
        <v>205</v>
      </c>
    </row>
    <row r="14" spans="2:6" ht="28" customHeight="1">
      <c r="B14" s="5" t="s">
        <v>230</v>
      </c>
      <c r="C14" s="5" t="s">
        <v>231</v>
      </c>
      <c r="D14" s="5" t="s">
        <v>232</v>
      </c>
      <c r="E14" s="5" t="s">
        <v>233</v>
      </c>
      <c r="F14" s="17" t="s">
        <v>205</v>
      </c>
    </row>
    <row r="15" spans="2:6" ht="28" customHeight="1">
      <c r="B15" s="5" t="s">
        <v>234</v>
      </c>
      <c r="C15" s="5" t="s">
        <v>235</v>
      </c>
      <c r="D15" s="5" t="s">
        <v>236</v>
      </c>
      <c r="E15" s="5" t="s">
        <v>237</v>
      </c>
      <c r="F15" s="17" t="s">
        <v>205</v>
      </c>
    </row>
    <row r="16" spans="2:6" ht="28" customHeight="1">
      <c r="B16" s="5" t="s">
        <v>238</v>
      </c>
      <c r="C16" s="5" t="s">
        <v>239</v>
      </c>
      <c r="D16" s="5" t="s">
        <v>240</v>
      </c>
      <c r="E16" s="5" t="s">
        <v>241</v>
      </c>
      <c r="F16" s="17" t="s">
        <v>205</v>
      </c>
    </row>
    <row r="17" spans="2:6" ht="28" customHeight="1">
      <c r="B17" s="5" t="s">
        <v>242</v>
      </c>
      <c r="C17" s="5" t="s">
        <v>243</v>
      </c>
      <c r="D17" s="5" t="s">
        <v>244</v>
      </c>
      <c r="E17" s="5" t="s">
        <v>245</v>
      </c>
      <c r="F17" s="17" t="s">
        <v>205</v>
      </c>
    </row>
    <row r="18" spans="2:6" ht="28" customHeight="1">
      <c r="B18" s="5" t="s">
        <v>246</v>
      </c>
      <c r="C18" s="5" t="s">
        <v>247</v>
      </c>
      <c r="D18" s="5" t="s">
        <v>248</v>
      </c>
      <c r="E18" s="5" t="s">
        <v>249</v>
      </c>
      <c r="F18" s="17" t="s">
        <v>205</v>
      </c>
    </row>
    <row r="19" spans="2:6" ht="28" customHeight="1">
      <c r="B19" s="5" t="s">
        <v>250</v>
      </c>
      <c r="C19" s="5" t="s">
        <v>251</v>
      </c>
      <c r="D19" s="5" t="s">
        <v>252</v>
      </c>
      <c r="E19" s="5" t="s">
        <v>253</v>
      </c>
      <c r="F19" s="17" t="s">
        <v>205</v>
      </c>
    </row>
    <row r="20" spans="2:6" ht="28" customHeight="1">
      <c r="B20" s="5" t="s">
        <v>254</v>
      </c>
      <c r="C20" s="5" t="s">
        <v>255</v>
      </c>
      <c r="D20" s="5" t="s">
        <v>256</v>
      </c>
      <c r="E20" s="5" t="s">
        <v>257</v>
      </c>
      <c r="F20" s="17" t="s">
        <v>205</v>
      </c>
    </row>
    <row r="21" spans="2:6" ht="28" customHeight="1">
      <c r="B21" s="5" t="s">
        <v>258</v>
      </c>
      <c r="C21" s="5" t="s">
        <v>259</v>
      </c>
      <c r="D21" s="5" t="s">
        <v>260</v>
      </c>
      <c r="E21" s="5" t="s">
        <v>261</v>
      </c>
      <c r="F21" s="17" t="s">
        <v>205</v>
      </c>
    </row>
    <row r="22" spans="2:6" ht="28" customHeight="1">
      <c r="B22" s="5" t="s">
        <v>262</v>
      </c>
      <c r="C22" s="5" t="s">
        <v>263</v>
      </c>
      <c r="D22" s="5" t="s">
        <v>264</v>
      </c>
      <c r="E22" s="5" t="s">
        <v>265</v>
      </c>
      <c r="F22" s="17" t="s">
        <v>205</v>
      </c>
    </row>
    <row r="23" spans="2:6" ht="28" customHeight="1">
      <c r="B23" s="5" t="s">
        <v>266</v>
      </c>
      <c r="C23" s="5" t="s">
        <v>267</v>
      </c>
      <c r="D23" s="5" t="s">
        <v>268</v>
      </c>
      <c r="E23" s="5" t="s">
        <v>269</v>
      </c>
      <c r="F23" s="17" t="s">
        <v>205</v>
      </c>
    </row>
    <row r="24" spans="2:6" ht="28" customHeight="1">
      <c r="B24" s="5" t="s">
        <v>270</v>
      </c>
      <c r="C24" s="5" t="s">
        <v>271</v>
      </c>
      <c r="D24" s="5" t="s">
        <v>272</v>
      </c>
      <c r="E24" s="5" t="s">
        <v>273</v>
      </c>
      <c r="F24" s="17" t="s">
        <v>205</v>
      </c>
    </row>
    <row r="25" spans="2:6" ht="28" customHeight="1">
      <c r="B25" s="5" t="s">
        <v>274</v>
      </c>
      <c r="C25" s="5" t="s">
        <v>275</v>
      </c>
      <c r="D25" s="5" t="s">
        <v>276</v>
      </c>
      <c r="E25" s="5" t="s">
        <v>277</v>
      </c>
      <c r="F25" s="17" t="s">
        <v>205</v>
      </c>
    </row>
  </sheetData>
  <hyperlinks>
    <hyperlink ref="F6" r:id="rId1"/>
    <hyperlink ref="F7" r:id="rId2"/>
    <hyperlink ref="F8" r:id="rId3"/>
    <hyperlink ref="F9" r:id="rId4"/>
    <hyperlink ref="F10" r:id="rId5"/>
    <hyperlink ref="F11" r:id="rId6"/>
    <hyperlink ref="F12" r:id="rId7"/>
    <hyperlink ref="F13" r:id="rId8"/>
    <hyperlink ref="F14" r:id="rId9"/>
    <hyperlink ref="F15" r:id="rId10"/>
    <hyperlink ref="F16" r:id="rId11"/>
    <hyperlink ref="F17" r:id="rId12"/>
    <hyperlink ref="F18" r:id="rId13"/>
    <hyperlink ref="F19" r:id="rId14"/>
    <hyperlink ref="F20" r:id="rId15"/>
    <hyperlink ref="F21" r:id="rId16"/>
    <hyperlink ref="F22" r:id="rId17"/>
    <hyperlink ref="F23" r:id="rId18"/>
    <hyperlink ref="F24" r:id="rId19"/>
    <hyperlink ref="F25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说明</vt:lpstr>
      <vt:lpstr>参数</vt:lpstr>
      <vt:lpstr>确定性测算</vt:lpstr>
      <vt:lpstr>结果</vt:lpstr>
      <vt:lpstr>敏感性</vt:lpstr>
      <vt:lpstr>数据与来源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2026-10-25T07:03:59Z</dcterms:created>
  <dcterms:modified xsi:type="dcterms:W3CDTF">2026-10-25T07:03:59Z</dcterms:modified>
</cp:coreProperties>
</file>